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" sheetId="1" state="visible" r:id="rId3"/>
    <sheet name="2019" sheetId="2" state="visible" r:id="rId4"/>
    <sheet name="Temp" sheetId="3" state="visible" r:id="rId5"/>
  </sheets>
  <definedNames>
    <definedName function="false" hidden="false" localSheetId="1" name="_xlnm.Print_Area" vbProcedure="false">'2019'!$A$250:$J$257</definedName>
    <definedName function="false" hidden="false" localSheetId="1" name="_xlnm.Print_Titles" vbProcedure="false">'2019'!$1:$1</definedName>
    <definedName function="false" hidden="false" localSheetId="0" name="_xlnm.Print_Area" vbProcedure="false">'2026'!$A$222:$K$228</definedName>
    <definedName function="false" hidden="false" localSheetId="0" name="_xlnm.Print_Titles" vbProcedure="false">'2026'!$1:$1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<sst xmlns="http://schemas.openxmlformats.org/spreadsheetml/2006/main" count="367" uniqueCount="154">
  <si>
    <t xml:space="preserve">Day</t>
  </si>
  <si>
    <t xml:space="preserve">Date</t>
  </si>
  <si>
    <t xml:space="preserve">From - To</t>
  </si>
  <si>
    <t xml:space="preserve">Amount</t>
  </si>
  <si>
    <t xml:space="preserve">Diesel</t>
  </si>
  <si>
    <t xml:space="preserve">Net income 25% driver salary</t>
  </si>
  <si>
    <t xml:space="preserve">Remittance</t>
  </si>
  <si>
    <t xml:space="preserve">Odo start</t>
  </si>
  <si>
    <t xml:space="preserve">Odo stop</t>
  </si>
  <si>
    <t xml:space="preserve">Odo
Mil distance</t>
  </si>
  <si>
    <t xml:space="preserve">Lit.
Diesel</t>
  </si>
  <si>
    <t xml:space="preserve">Diesel
Consumption</t>
  </si>
  <si>
    <t xml:space="preserve">SUM
Remittance</t>
  </si>
  <si>
    <t xml:space="preserve">Input
BDO</t>
  </si>
  <si>
    <t xml:space="preserve">Input
Lorna
Account</t>
  </si>
  <si>
    <t xml:space="preserve">Expensives</t>
  </si>
  <si>
    <t xml:space="preserve">Inc. Tot.</t>
  </si>
  <si>
    <t xml:space="preserve">Transportation car Cebu – Bohol</t>
  </si>
  <si>
    <t xml:space="preserve">Insurance car</t>
  </si>
  <si>
    <t xml:space="preserve">Jan-Feb</t>
  </si>
  <si>
    <t xml:space="preserve">SSS (input pension)</t>
  </si>
  <si>
    <t xml:space="preserve">Mån</t>
  </si>
  <si>
    <t xml:space="preserve">Seaport Tagbilaran City – Mayana Guindulman</t>
  </si>
  <si>
    <t xml:space="preserve">Tis</t>
  </si>
  <si>
    <t xml:space="preserve">Go Badotsco etc</t>
  </si>
  <si>
    <t xml:space="preserve">Ons</t>
  </si>
  <si>
    <t xml:space="preserve">No trip</t>
  </si>
  <si>
    <t xml:space="preserve">Tor</t>
  </si>
  <si>
    <t xml:space="preserve">Pick up Hennan Alona Beach – Drop off Hennan</t>
  </si>
  <si>
    <t xml:space="preserve">Fre</t>
  </si>
  <si>
    <t xml:space="preserve">Sat</t>
  </si>
  <si>
    <t xml:space="preserve">Sun</t>
  </si>
  <si>
    <t xml:space="preserve">Mon</t>
  </si>
  <si>
    <t xml:space="preserve">Loboc tour</t>
  </si>
  <si>
    <t xml:space="preserve">Tue</t>
  </si>
  <si>
    <t xml:space="preserve">Country Side, Drop off airport</t>
  </si>
  <si>
    <t xml:space="preserve">Wed</t>
  </si>
  <si>
    <t xml:space="preserve">Pick up Bohol Tropics – Drop off Airport</t>
  </si>
  <si>
    <t xml:space="preserve">Thu</t>
  </si>
  <si>
    <t xml:space="preserve">Fri</t>
  </si>
  <si>
    <t xml:space="preserve">Line Airport, Solena Resort, Ocjianica Resort-Seaport Tagbilaran-Drop off Belleview (2000 peso)</t>
  </si>
  <si>
    <t xml:space="preserve">AirportSolea Resort – Airport (600 peso)</t>
  </si>
  <si>
    <t xml:space="preserve">Pick up Story Resort, Service Panglao, Tagbilara Visit Babtist Church.
(2000 p + 600 p + 3000 p)</t>
  </si>
  <si>
    <t xml:space="preserve">Pick up RickBarry, go Badotsco, Office Seaport Tagbilaran.
(500 Charge diesel to driver) ODO 51070,</t>
  </si>
  <si>
    <t xml:space="preserve">Line Airport, Pick up Bohol Tropics, Country Side Tour.</t>
  </si>
  <si>
    <t xml:space="preserve">Pick up Service Whith in Panglao</t>
  </si>
  <si>
    <t xml:space="preserve">Pick up Belleview Country Side Tour.</t>
  </si>
  <si>
    <t xml:space="preserve">Henan Resort, Panglao Country Side Tour.</t>
  </si>
  <si>
    <t xml:space="preserve">Pic up Ocejenica, Country Side Tour + (pick up cellphone)</t>
  </si>
  <si>
    <t xml:space="preserve">Country Side Tour</t>
  </si>
  <si>
    <t xml:space="preserve">Blue Water Country Side Tour</t>
  </si>
  <si>
    <t xml:space="preserve">Pick up Bohoö Tropics – Country Side Tour – Drop off Hennan</t>
  </si>
  <si>
    <t xml:space="preserve">Hennan Resort – Service – Hospital of Bohol, Unilab Doctors</t>
  </si>
  <si>
    <t xml:space="preserve">Line up airport – No Trip</t>
  </si>
  <si>
    <t xml:space="preserve">Pick up etc…</t>
  </si>
  <si>
    <t xml:space="preserve">Pick up Alona Beach – Drop Seaport</t>
  </si>
  <si>
    <t xml:space="preserve">Line airport – Trip Seleah Resort – Airport Line – Home</t>
  </si>
  <si>
    <t xml:space="preserve">Line airport – Bellaview Resort – Airport Line</t>
  </si>
  <si>
    <t xml:space="preserve">Pick up Seaport – Henann Resort – Line Airport</t>
  </si>
  <si>
    <t xml:space="preserve">Pick up Airport – Off BKGY Tucdog Losy School</t>
  </si>
  <si>
    <t xml:space="preserve">Airport – Country Side Tour – Off Nora place – Panglao
Pick up Airport – drop off Bohol Tropic</t>
  </si>
  <si>
    <t xml:space="preserve">Pick up Alona Vida Beach Hill resorrt – Country side Tour – Drop off Alona</t>
  </si>
  <si>
    <t xml:space="preserve">Bohol Tropic Resort – Country Side Tour – Bohol T. R.</t>
  </si>
  <si>
    <t xml:space="preserve"> </t>
  </si>
  <si>
    <t xml:space="preserve">Alona Vida Hill Beach Resort – Pangas Falls – Danao Adventures – Alona Beacd.</t>
  </si>
  <si>
    <t xml:space="preserve">Line Airport – No trip</t>
  </si>
  <si>
    <t xml:space="preserve">Pickup Alona Beach – Anbagnow Cav – Carrumantand Falls – Alona Beach – Home (Diesel 82,20/lit)</t>
  </si>
  <si>
    <t xml:space="preserve">Airport – Modala Resort - </t>
  </si>
  <si>
    <t xml:space="preserve">SUM</t>
  </si>
  <si>
    <t xml:space="preserve">Net income 22% driver salary</t>
  </si>
  <si>
    <t xml:space="preserve">Odo-
meter km</t>
  </si>
  <si>
    <t xml:space="preserve">Odo-
meter convert to mile</t>
  </si>
  <si>
    <t xml:space="preserve">Diesel price one liter</t>
  </si>
  <si>
    <t xml:space="preserve">From Mayana to Chocolate Hills to Panglao. Back to Mayana.</t>
  </si>
  <si>
    <t xml:space="preserve">From Jagna to Panglao.</t>
  </si>
  <si>
    <t xml:space="preserve">From Mayana to Panglao and back to Mayana.</t>
  </si>
  <si>
    <t xml:space="preserve">Service wedding . From Corellia to Panglao and back to Corellia,</t>
  </si>
  <si>
    <t xml:space="preserve">From Tagbilaran to Chocolate Hills. Back to Panglao.</t>
  </si>
  <si>
    <t xml:space="preserve">From Panglao to Tagbilaran harbour.</t>
  </si>
  <si>
    <t xml:space="preserve">From Tagbilaran to Anda.</t>
  </si>
  <si>
    <t xml:space="preserve">Total:</t>
  </si>
  <si>
    <t xml:space="preserve">Service Wyeth</t>
  </si>
  <si>
    <t xml:space="preserve">Tagbilaran - Panglao * 2</t>
  </si>
  <si>
    <t xml:space="preserve">Pic up Maribojoc-drop panglao, round trip, odometer 140, remittance 868
Transport in peir to Panglao 2 times, odometer 90, remittance 624</t>
  </si>
  <si>
    <t xml:space="preserve">Pic up Taytay Chocotour - drop Taytay</t>
  </si>
  <si>
    <t xml:space="preserve">Airport to Mayana (two trip).</t>
  </si>
  <si>
    <t xml:space="preserve">Mayana - Tagbilaran - Panglao - Mayana</t>
  </si>
  <si>
    <t xml:space="preserve">Mayana - Tagbilaran - Mayana</t>
  </si>
  <si>
    <t xml:space="preserve">Tagbilaran harbour - Panglao. Transport 2 times</t>
  </si>
  <si>
    <t xml:space="preserve">Tagbilaran - Panglao. Roundtrip in Panglao.</t>
  </si>
  <si>
    <t xml:space="preserve">Tagbilaran - Mayana</t>
  </si>
  <si>
    <t xml:space="preserve">Chocolate tour. Pick up Tagbilaran - drop Mayana.</t>
  </si>
  <si>
    <t xml:space="preserve">Tagbilaran harbour - Antiguera (700 peso)
Harbour - Chocolatehills - Antiguera (3000 peso)</t>
  </si>
  <si>
    <t xml:space="preserve">Transport trip Panglao - Tagbilaran</t>
  </si>
  <si>
    <t xml:space="preserve">Pic up Tagbilaran - drop to Mayana - Chocotour</t>
  </si>
  <si>
    <t xml:space="preserve">Transport Tagbilaran to Airport</t>
  </si>
  <si>
    <t xml:space="preserve">Pic up Airport - drop Mayana</t>
  </si>
  <si>
    <t xml:space="preserve">Pic up Cortes - drop Panglao airport</t>
  </si>
  <si>
    <t xml:space="preserve">(Car for rent) Pic up Bohol tropics - Chocotour  - drop Bohol tropics (2 passanger only).</t>
  </si>
  <si>
    <t xml:space="preserve">(Car for rent) Pic up Travel Bee - Chocotour - drop Travel Bee</t>
  </si>
  <si>
    <t xml:space="preserve">Pic up Bohol tropics - Panglao Tour - drop Bohol Tropics</t>
  </si>
  <si>
    <t xml:space="preserve">Pic up Panglao Airport - drop Tagbilaran (700, diesel 200, odom 43) pic up Tagbilaran - Chocotour - drop Tagbilaran (2300, diesel 800, odom. 153)</t>
  </si>
  <si>
    <t xml:space="preserve">Tagbilaran - Chocotour - Tagbilaran</t>
  </si>
  <si>
    <t xml:space="preserve">Private. Tagbilaran home to Mayana</t>
  </si>
  <si>
    <t xml:space="preserve">Mayana - Bounavista</t>
  </si>
  <si>
    <t xml:space="preserve">Private 88 km.</t>
  </si>
  <si>
    <t xml:space="preserve">Private 93 km.</t>
  </si>
  <si>
    <t xml:space="preserve">Bangbalog - Danao - Bangbalog - Sagbayan Carmen - Panglao - Bangbalog</t>
  </si>
  <si>
    <t xml:space="preserve">Lonoy - Pilar San in Sidro - Lonoy</t>
  </si>
  <si>
    <t xml:space="preserve">No driving</t>
  </si>
  <si>
    <t xml:space="preserve">The car in Tagbikaran. Reckbarry bring the car to Mayana because have passaner. (85 km)</t>
  </si>
  <si>
    <t xml:space="preserve">The car in Tagbilaran. Go private with car to Mayana (85 km)</t>
  </si>
  <si>
    <t xml:space="preserve">Pic up Tagbilaran to Benunido drop Taliban.</t>
  </si>
  <si>
    <t xml:space="preserve">Service. Tagbilaran - Panglao - Tagbilaran.</t>
  </si>
  <si>
    <t xml:space="preserve">Mayana - Siktuna - Siverllia - Mayna</t>
  </si>
  <si>
    <t xml:space="preserve">Pick up Panglao - drop Mayana</t>
  </si>
  <si>
    <t xml:space="preserve">Pick up Chocotow - drop Panglao (2500 peso, 164 km)
- Panglao to harbour (600 peso, 48 km)</t>
  </si>
  <si>
    <t xml:space="preserve">Chocolate tour. Pick up Panglao - drop Panglao.</t>
  </si>
  <si>
    <t xml:space="preserve">Chocotour. Pick up Jagna - drop Jagna</t>
  </si>
  <si>
    <t xml:space="preserve">Chocolate tour. Pick up Panglao - drop Panglao. (2 pers.)</t>
  </si>
  <si>
    <t xml:space="preserve">Pick up Panglao. Chocolate tour. Back Panglao.</t>
  </si>
  <si>
    <t xml:space="preserve">Chocotour. Pick up Panglao - back Panglao.</t>
  </si>
  <si>
    <t xml:space="preserve">Tranout 2 times. Trans in 1 time.</t>
  </si>
  <si>
    <t xml:space="preserve">Go to Panglao submit the Biodata to the Hotel &amp; go to urgent meeting. No trip.</t>
  </si>
  <si>
    <t xml:space="preserve">Service. Install GPS. Going Badotsco office et.</t>
  </si>
  <si>
    <t xml:space="preserve">Mayana go Tubol Imar back to Tagbilaran</t>
  </si>
  <si>
    <t xml:space="preserve">Go to ICM and Terminal</t>
  </si>
  <si>
    <t xml:space="preserve">Go to gasoline station wash the car</t>
  </si>
  <si>
    <t xml:space="preserve">Go to hall of Justice</t>
  </si>
  <si>
    <t xml:space="preserve">Panglao, Mbur, Loon, back to Tagbilaran</t>
  </si>
  <si>
    <t xml:space="preserve">Tagbilaran - Mayana - Carmen - Serabolionen - Tubigo - Cebu - Mayana</t>
  </si>
  <si>
    <t xml:space="preserve">Mayana - Tagbilaran (Dauis Convent Poblicaion) - Mayana</t>
  </si>
  <si>
    <t xml:space="preserve">Jagna - St.Isidore Chapel 2, - Sierra Bullones Road Mayana Jagna - Boctol Elementary school Jagna, Seventh-day Adventish Church - Cambungol Jagna, - Tubod Monte National Highschool - Pangas Bridge Jagna. - Mayana</t>
  </si>
  <si>
    <t xml:space="preserve">Private drive</t>
  </si>
  <si>
    <t xml:space="preserve">Mayana - Tagbilaran</t>
  </si>
  <si>
    <t xml:space="preserve">Trans out.
Pick up - drop off Panglao.
Pick up Loon - drop off Panglao.</t>
  </si>
  <si>
    <t xml:space="preserve">Tagbilaran. Service funeral.</t>
  </si>
  <si>
    <t xml:space="preserve">Service Dumaloan - Panglao Beach</t>
  </si>
  <si>
    <t xml:space="preserve">Tagbilaran - Jagna - Mayana</t>
  </si>
  <si>
    <t xml:space="preserve">Mayana - Sabayan - Mayana</t>
  </si>
  <si>
    <t xml:space="preserve">From Cogon (Tag). Chocotour back to Panglao.</t>
  </si>
  <si>
    <t xml:space="preserve">Panglao tour, sightseeing</t>
  </si>
  <si>
    <t xml:space="preserve">Pick up Tagbilaran seaport - back to Tagbilaran. Chocotour.</t>
  </si>
  <si>
    <t xml:space="preserve">Pick up pier - drop Panglao</t>
  </si>
  <si>
    <t xml:space="preserve">Trans in, from pier to Panglao</t>
  </si>
  <si>
    <t xml:space="preserve">Choco tour. Pick up pier - drop pier. (Am. 600, Di. 200.Dr. 88. Re. 312)
Trans In. Pick up seaport going to Panglao service dinner. Drop
Panglao. (Am 1500, Di. 500, Dr. 200, Re. 780)</t>
  </si>
  <si>
    <t xml:space="preserve">No trip.</t>
  </si>
  <si>
    <t xml:space="preserve">Trans out.
Pick up Tagbilaran - drop off Panglao airport.
</t>
  </si>
  <si>
    <t xml:space="preserve">Choco tour. Pick up Panglao pier - drop pier.</t>
  </si>
  <si>
    <t xml:space="preserve">Mayana - Tagbilaran. (Private driving).</t>
  </si>
  <si>
    <t xml:space="preserve">Pick up. Baclayon - drop Panglao. Pick up Panglao - drop Baclayon.</t>
  </si>
  <si>
    <t xml:space="preserve">Cogon - Alicia (Saturday 2019-11-30. 96 km)</t>
  </si>
  <si>
    <t xml:space="preserve">Input BDO</t>
  </si>
  <si>
    <t xml:space="preserve">Diff Remittance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</si>
</sst>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/mm/dd"/>
    <numFmt numFmtId="166" formatCode="[$₱-464]#,##0"/>
    <numFmt numFmtId="167" formatCode="#,##0.00"/>
    <numFmt numFmtId="168" formatCode="#,##0"/>
    <numFmt numFmtId="169" formatCode="#,##0.00\ [$kr-41D];[RED]\-#,##0.00\ [$kr-41D]"/>
    <numFmt numFmtId="170" formatCode="#,##0.0"/>
    <numFmt numFmtId="171" formatCode="[$₱-464]#,##0.00"/>
    <numFmt numFmtId="172" formatCode="[$₱-464]#,##0.0"/>
  </numFmts>
  <fonts count="1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1"/>
      <color rgb="FF000000"/>
      <name val="Calibri"/>
      <family val="2"/>
    </font>
    <font>
      <sz val="14"/>
      <color rgb="FF000000"/>
      <name val="Times New Roman"/>
      <family val="1"/>
    </font>
    <font>
      <sz val="12"/>
      <color rgb="FF000000"/>
      <name val="Arial"/>
      <family val="2"/>
    </font>
    <font>
      <b val="true"/>
      <sz val="12"/>
      <color rgb="FF000000"/>
      <name val="Arial"/>
      <family val="2"/>
    </font>
    <font>
      <b val="true"/>
      <sz val="14"/>
      <color rgb="FF000000"/>
      <name val="Times New Roman"/>
      <family val="1"/>
    </font>
    <font>
      <sz val="16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D7"/>
      </patternFill>
    </fill>
    <fill>
      <patternFill patternType="solid">
        <fgColor rgb="FF6CF8C2"/>
        <bgColor rgb="FF99CCFF"/>
      </patternFill>
    </fill>
    <fill>
      <patternFill patternType="solid">
        <fgColor rgb="FFFF7F79"/>
        <bgColor rgb="FFFF99CC"/>
      </patternFill>
    </fill>
    <fill>
      <patternFill patternType="solid">
        <fgColor rgb="FFFFFFD7"/>
        <bgColor rgb="FFFFFFCC"/>
      </patternFill>
    </fill>
    <fill>
      <patternFill patternType="solid">
        <fgColor rgb="FFFF99CC"/>
        <bgColor rgb="FFCC99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2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6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_BuiltIn_Anteckning" xfId="20"/>
  </cellStyles>
  <colors>
    <indexedColors>
      <rgbColor rgb="FF000000"/>
      <rgbColor rgb="FFFFFFD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F7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CF8C2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44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:D1"/>
    </sheetView>
  </sheetViews>
  <sheetFormatPr defaultColWidth="9.01171875" defaultRowHeight="15.8" customHeight="false" zeroHeight="false" outlineLevelRow="0" outlineLevelCol="0"/>
  <cols>
    <col collapsed="false" customWidth="true" hidden="false" outlineLevel="0" max="1" min="1" style="1" width="5.01"/>
    <col collapsed="false" customWidth="true" hidden="false" outlineLevel="0" max="2" min="2" style="1" width="12.87"/>
    <col collapsed="false" customWidth="true" hidden="false" outlineLevel="0" max="3" min="3" style="1" width="71.49"/>
    <col collapsed="false" customWidth="true" hidden="false" outlineLevel="0" max="4" min="4" style="2" width="12.01"/>
    <col collapsed="false" customWidth="true" hidden="false" outlineLevel="0" max="5" min="5" style="2" width="11.15"/>
    <col collapsed="false" customWidth="true" hidden="false" outlineLevel="0" max="7" min="6" style="3" width="12.5"/>
    <col collapsed="false" customWidth="true" hidden="false" outlineLevel="0" max="9" min="8" style="3" width="12.03"/>
    <col collapsed="false" customWidth="true" hidden="false" outlineLevel="0" max="10" min="10" style="2" width="13.33"/>
    <col collapsed="false" customWidth="true" hidden="false" outlineLevel="0" max="11" min="11" style="4" width="8.85"/>
    <col collapsed="false" customWidth="true" hidden="false" outlineLevel="0" max="12" min="12" style="5" width="13.63"/>
    <col collapsed="false" customWidth="true" hidden="false" outlineLevel="0" max="13" min="13" style="1" width="11.32"/>
    <col collapsed="false" customWidth="true" hidden="false" outlineLevel="0" max="14" min="14" style="6" width="11.31"/>
    <col collapsed="false" customWidth="true" hidden="false" outlineLevel="0" max="15" min="15" style="1" width="11.04"/>
    <col collapsed="false" customWidth="true" hidden="false" outlineLevel="0" max="16" min="16" style="1" width="11.07"/>
    <col collapsed="false" customWidth="true" hidden="false" outlineLevel="0" max="17" min="17" style="7" width="11.65"/>
    <col collapsed="false" customWidth="false" hidden="false" outlineLevel="0" max="257" min="18" style="1" width="9.01"/>
  </cols>
  <sheetData>
    <row r="1" customFormat="false" ht="40.6" hidden="false" customHeight="false" outlineLevel="0" collapsed="false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2" t="s">
        <v>8</v>
      </c>
      <c r="J1" s="13" t="s">
        <v>9</v>
      </c>
      <c r="K1" s="14" t="s">
        <v>10</v>
      </c>
      <c r="L1" s="14" t="s">
        <v>11</v>
      </c>
      <c r="M1" s="15" t="s">
        <v>12</v>
      </c>
      <c r="N1" s="16" t="s">
        <v>13</v>
      </c>
      <c r="O1" s="17" t="s">
        <v>14</v>
      </c>
      <c r="P1" s="18" t="s">
        <v>1</v>
      </c>
      <c r="Q1" s="7" t="s">
        <v>15</v>
      </c>
      <c r="R1" s="19" t="s">
        <v>16</v>
      </c>
    </row>
    <row r="2" customFormat="false" ht="19.35" hidden="false" customHeight="false" outlineLevel="0" collapsed="false">
      <c r="A2" s="8"/>
      <c r="B2" s="20" t="n">
        <v>46053</v>
      </c>
      <c r="C2" s="8" t="s">
        <v>17</v>
      </c>
      <c r="D2" s="9"/>
      <c r="E2" s="9"/>
      <c r="F2" s="10"/>
      <c r="G2" s="11"/>
      <c r="H2" s="12"/>
      <c r="I2" s="12"/>
      <c r="J2" s="13"/>
      <c r="K2" s="14"/>
      <c r="L2" s="14"/>
      <c r="M2" s="15"/>
      <c r="N2" s="16"/>
      <c r="O2" s="17"/>
      <c r="P2" s="18"/>
      <c r="Q2" s="21" t="n">
        <v>9000</v>
      </c>
      <c r="R2" s="22" t="n">
        <v>9185.05</v>
      </c>
    </row>
    <row r="3" customFormat="false" ht="19.35" hidden="false" customHeight="false" outlineLevel="0" collapsed="false">
      <c r="A3" s="8"/>
      <c r="B3" s="20" t="n">
        <v>46063</v>
      </c>
      <c r="C3" s="8" t="s">
        <v>18</v>
      </c>
      <c r="D3" s="9"/>
      <c r="E3" s="9"/>
      <c r="F3" s="10"/>
      <c r="G3" s="11"/>
      <c r="H3" s="12"/>
      <c r="I3" s="12"/>
      <c r="J3" s="13"/>
      <c r="K3" s="14"/>
      <c r="L3" s="14"/>
      <c r="M3" s="15"/>
      <c r="N3" s="16"/>
      <c r="O3" s="17"/>
      <c r="P3" s="18"/>
      <c r="Q3" s="21" t="n">
        <v>16360</v>
      </c>
    </row>
    <row r="4" customFormat="false" ht="19.35" hidden="false" customHeight="false" outlineLevel="0" collapsed="false">
      <c r="A4" s="8"/>
      <c r="B4" s="8" t="s">
        <v>19</v>
      </c>
      <c r="C4" s="8" t="s">
        <v>20</v>
      </c>
      <c r="D4" s="9"/>
      <c r="E4" s="9"/>
      <c r="F4" s="10"/>
      <c r="G4" s="11"/>
      <c r="H4" s="12"/>
      <c r="I4" s="12"/>
      <c r="J4" s="13"/>
      <c r="K4" s="14"/>
      <c r="L4" s="14"/>
      <c r="M4" s="15"/>
      <c r="N4" s="16"/>
      <c r="O4" s="17"/>
      <c r="P4" s="18"/>
      <c r="Q4" s="21" t="n">
        <v>1755</v>
      </c>
    </row>
    <row r="5" customFormat="false" ht="35.65" hidden="false" customHeight="true" outlineLevel="0" collapsed="false">
      <c r="A5" s="23" t="s">
        <v>21</v>
      </c>
      <c r="B5" s="24" t="n">
        <v>46055</v>
      </c>
      <c r="C5" s="25" t="s">
        <v>22</v>
      </c>
      <c r="D5" s="26" t="n">
        <v>3700</v>
      </c>
      <c r="E5" s="26" t="n">
        <v>1359.48</v>
      </c>
      <c r="F5" s="22" t="n">
        <f aca="false">(D5-E5)*0.25</f>
        <v>585.13</v>
      </c>
      <c r="G5" s="22" t="n">
        <f aca="false">(D5-E5)-F5</f>
        <v>1755.39</v>
      </c>
      <c r="H5" s="27" t="n">
        <v>49895</v>
      </c>
      <c r="I5" s="27" t="n">
        <v>50097</v>
      </c>
      <c r="J5" s="28" t="n">
        <f aca="false">SUM(I5-H5)/10</f>
        <v>20.2</v>
      </c>
      <c r="K5" s="4" t="n">
        <v>24.15</v>
      </c>
      <c r="L5" s="29" t="n">
        <f aca="false">IF(AND(K5=0,J5=0),"",K5/J5)</f>
        <v>1.19554455445545</v>
      </c>
      <c r="M5" s="30"/>
      <c r="N5" s="31"/>
      <c r="O5" s="30"/>
      <c r="P5" s="30"/>
      <c r="Q5" s="21"/>
      <c r="R5" s="30"/>
      <c r="S5" s="30"/>
      <c r="T5" s="30"/>
      <c r="U5" s="30"/>
      <c r="V5" s="30"/>
      <c r="W5" s="30"/>
    </row>
    <row r="6" customFormat="false" ht="35.65" hidden="false" customHeight="true" outlineLevel="0" collapsed="false">
      <c r="A6" s="23" t="s">
        <v>23</v>
      </c>
      <c r="B6" s="24" t="n">
        <v>46056</v>
      </c>
      <c r="C6" s="25" t="s">
        <v>24</v>
      </c>
      <c r="D6" s="26" t="n">
        <v>0</v>
      </c>
      <c r="E6" s="26" t="n">
        <v>0</v>
      </c>
      <c r="F6" s="22" t="n">
        <f aca="false">(D6-E6)*0.25</f>
        <v>0</v>
      </c>
      <c r="G6" s="22" t="n">
        <f aca="false">(D6-E6)-F6</f>
        <v>0</v>
      </c>
      <c r="H6" s="32" t="n">
        <v>50097</v>
      </c>
      <c r="I6" s="32" t="n">
        <v>50132</v>
      </c>
      <c r="J6" s="28" t="n">
        <f aca="false">SUM(I6-H6)/10</f>
        <v>3.5</v>
      </c>
      <c r="L6" s="29" t="n">
        <f aca="false">IF(AND(K6=0,J6=0),"",K6/J6)</f>
        <v>0</v>
      </c>
      <c r="M6" s="30"/>
      <c r="N6" s="31"/>
      <c r="O6" s="30"/>
      <c r="P6" s="30"/>
      <c r="Q6" s="33"/>
      <c r="R6" s="30"/>
      <c r="S6" s="30"/>
      <c r="T6" s="30"/>
      <c r="U6" s="30"/>
      <c r="V6" s="30"/>
      <c r="W6" s="30"/>
    </row>
    <row r="7" customFormat="false" ht="35.65" hidden="false" customHeight="true" outlineLevel="0" collapsed="false">
      <c r="A7" s="23" t="s">
        <v>25</v>
      </c>
      <c r="B7" s="24" t="n">
        <v>46057</v>
      </c>
      <c r="C7" s="25" t="s">
        <v>26</v>
      </c>
      <c r="D7" s="26"/>
      <c r="E7" s="26"/>
      <c r="F7" s="22" t="n">
        <f aca="false">(D7-E7)*0.25</f>
        <v>-0</v>
      </c>
      <c r="G7" s="22" t="n">
        <f aca="false">(D7-E7)-F7</f>
        <v>0</v>
      </c>
      <c r="H7" s="27"/>
      <c r="I7" s="27"/>
      <c r="J7" s="28" t="n">
        <f aca="false">SUM(I7-H7)/10</f>
        <v>0</v>
      </c>
      <c r="L7" s="29" t="str">
        <f aca="false">IF(AND(K7=0,J7=0),"",K7/J7)</f>
        <v/>
      </c>
      <c r="M7" s="30"/>
      <c r="N7" s="31"/>
      <c r="O7" s="30"/>
      <c r="P7" s="30"/>
      <c r="Q7" s="33"/>
      <c r="R7" s="30"/>
      <c r="S7" s="30"/>
      <c r="T7" s="30"/>
      <c r="U7" s="30"/>
      <c r="V7" s="30"/>
      <c r="W7" s="30"/>
    </row>
    <row r="8" customFormat="false" ht="35.65" hidden="false" customHeight="true" outlineLevel="0" collapsed="false">
      <c r="A8" s="23" t="s">
        <v>27</v>
      </c>
      <c r="B8" s="24" t="n">
        <v>46058</v>
      </c>
      <c r="C8" s="25" t="s">
        <v>28</v>
      </c>
      <c r="D8" s="26" t="n">
        <v>3500</v>
      </c>
      <c r="E8" s="26" t="n">
        <v>1141.32</v>
      </c>
      <c r="F8" s="22" t="n">
        <f aca="false">(D8-E8)*0.25</f>
        <v>589.67</v>
      </c>
      <c r="G8" s="22" t="n">
        <f aca="false">(D8-E8)-F8</f>
        <v>1769.01</v>
      </c>
      <c r="H8" s="27" t="n">
        <v>50132</v>
      </c>
      <c r="I8" s="27" t="n">
        <v>50351</v>
      </c>
      <c r="J8" s="28" t="n">
        <f aca="false">SUM(I8-H8)/10</f>
        <v>21.9</v>
      </c>
      <c r="K8" s="4" t="n">
        <v>19.71</v>
      </c>
      <c r="L8" s="29" t="n">
        <f aca="false">IF(AND(K8=0,J8=0),"",K8/J8)</f>
        <v>0.9</v>
      </c>
      <c r="M8" s="30"/>
      <c r="N8" s="31"/>
      <c r="O8" s="30"/>
      <c r="P8" s="30"/>
      <c r="Q8" s="33"/>
      <c r="R8" s="30"/>
      <c r="S8" s="30"/>
      <c r="T8" s="30"/>
      <c r="U8" s="30"/>
      <c r="V8" s="30"/>
      <c r="W8" s="30"/>
    </row>
    <row r="9" customFormat="false" ht="35.65" hidden="false" customHeight="true" outlineLevel="0" collapsed="false">
      <c r="A9" s="23" t="s">
        <v>29</v>
      </c>
      <c r="B9" s="24" t="n">
        <v>46059</v>
      </c>
      <c r="C9" s="25" t="s">
        <v>26</v>
      </c>
      <c r="D9" s="26"/>
      <c r="E9" s="26"/>
      <c r="F9" s="22" t="n">
        <f aca="false">(D9-E9)*0.25</f>
        <v>-0</v>
      </c>
      <c r="G9" s="22" t="n">
        <f aca="false">(D9-E9)-F9</f>
        <v>0</v>
      </c>
      <c r="H9" s="27"/>
      <c r="I9" s="27"/>
      <c r="J9" s="28" t="n">
        <f aca="false">SUM(I9-H9)/10</f>
        <v>0</v>
      </c>
      <c r="L9" s="29" t="str">
        <f aca="false">IF(AND(K9=0,J9=0),"",K9/J9)</f>
        <v/>
      </c>
      <c r="M9" s="30"/>
      <c r="N9" s="31"/>
      <c r="O9" s="30"/>
      <c r="P9" s="30"/>
      <c r="Q9" s="33"/>
      <c r="R9" s="30"/>
      <c r="S9" s="30"/>
      <c r="T9" s="30"/>
      <c r="U9" s="30"/>
      <c r="V9" s="30"/>
      <c r="W9" s="30"/>
    </row>
    <row r="10" customFormat="false" ht="35.65" hidden="false" customHeight="true" outlineLevel="0" collapsed="false">
      <c r="A10" s="23" t="s">
        <v>30</v>
      </c>
      <c r="B10" s="24" t="n">
        <v>46060</v>
      </c>
      <c r="C10" s="25" t="s">
        <v>26</v>
      </c>
      <c r="D10" s="26"/>
      <c r="E10" s="26"/>
      <c r="F10" s="22" t="n">
        <f aca="false">(D10-E10)*0.25</f>
        <v>-0</v>
      </c>
      <c r="G10" s="22" t="n">
        <f aca="false">(D10-E10)-F10</f>
        <v>0</v>
      </c>
      <c r="H10" s="27"/>
      <c r="I10" s="27"/>
      <c r="J10" s="28" t="n">
        <f aca="false">SUM(I10-H10)/10</f>
        <v>0</v>
      </c>
      <c r="L10" s="29" t="str">
        <f aca="false">IF(AND(K10=0,J10=0),"",K10/J10)</f>
        <v/>
      </c>
      <c r="M10" s="30"/>
      <c r="N10" s="31"/>
      <c r="O10" s="30"/>
      <c r="P10" s="30"/>
      <c r="Q10" s="33"/>
      <c r="R10" s="30"/>
      <c r="S10" s="30"/>
      <c r="T10" s="30"/>
      <c r="U10" s="30"/>
      <c r="V10" s="30"/>
      <c r="W10" s="30"/>
    </row>
    <row r="11" customFormat="false" ht="35.65" hidden="false" customHeight="true" outlineLevel="0" collapsed="false">
      <c r="A11" s="23" t="s">
        <v>31</v>
      </c>
      <c r="B11" s="24" t="n">
        <v>46061</v>
      </c>
      <c r="C11" s="25" t="s">
        <v>26</v>
      </c>
      <c r="D11" s="26"/>
      <c r="E11" s="26"/>
      <c r="F11" s="22" t="n">
        <f aca="false">(D11-E11)*0.25</f>
        <v>-0</v>
      </c>
      <c r="G11" s="22" t="n">
        <f aca="false">(D11-E11)-F11</f>
        <v>0</v>
      </c>
      <c r="H11" s="27"/>
      <c r="I11" s="27"/>
      <c r="J11" s="28" t="n">
        <f aca="false">SUM(I11-H11)/10</f>
        <v>0</v>
      </c>
      <c r="L11" s="29" t="str">
        <f aca="false">IF(AND(K11=0,J11=0),"",K11/J11)</f>
        <v/>
      </c>
      <c r="M11" s="30"/>
      <c r="N11" s="31"/>
      <c r="O11" s="30"/>
      <c r="P11" s="30"/>
      <c r="Q11" s="33"/>
      <c r="R11" s="30"/>
      <c r="S11" s="30"/>
      <c r="T11" s="30"/>
      <c r="U11" s="30"/>
      <c r="V11" s="30"/>
      <c r="W11" s="30"/>
    </row>
    <row r="12" customFormat="false" ht="35.65" hidden="false" customHeight="true" outlineLevel="0" collapsed="false">
      <c r="A12" s="23" t="s">
        <v>32</v>
      </c>
      <c r="B12" s="24" t="n">
        <v>46062</v>
      </c>
      <c r="C12" s="25" t="s">
        <v>33</v>
      </c>
      <c r="D12" s="26" t="n">
        <v>2800</v>
      </c>
      <c r="E12" s="26" t="n">
        <v>800</v>
      </c>
      <c r="F12" s="22" t="n">
        <f aca="false">(D12-E12)*0.25</f>
        <v>500</v>
      </c>
      <c r="G12" s="22" t="n">
        <f aca="false">(D12-E12)-F12</f>
        <v>1500</v>
      </c>
      <c r="H12" s="27" t="n">
        <v>50351</v>
      </c>
      <c r="I12" s="27" t="n">
        <v>50436</v>
      </c>
      <c r="J12" s="28" t="n">
        <f aca="false">SUM(I12-H12)/10</f>
        <v>8.5</v>
      </c>
      <c r="L12" s="29" t="n">
        <f aca="false">IF(AND(K12=0,J12=0),"",K12/J12)</f>
        <v>0</v>
      </c>
      <c r="M12" s="30"/>
      <c r="N12" s="31"/>
      <c r="O12" s="30"/>
      <c r="P12" s="30"/>
      <c r="Q12" s="34"/>
      <c r="R12" s="30"/>
      <c r="S12" s="30"/>
      <c r="T12" s="30"/>
      <c r="U12" s="30"/>
      <c r="V12" s="30"/>
      <c r="W12" s="30"/>
    </row>
    <row r="13" customFormat="false" ht="69" hidden="false" customHeight="true" outlineLevel="0" collapsed="false">
      <c r="A13" s="23" t="s">
        <v>34</v>
      </c>
      <c r="B13" s="24" t="n">
        <v>46063</v>
      </c>
      <c r="C13" s="25" t="s">
        <v>35</v>
      </c>
      <c r="D13" s="26" t="n">
        <v>3500</v>
      </c>
      <c r="E13" s="26" t="n">
        <v>1100</v>
      </c>
      <c r="F13" s="22" t="n">
        <f aca="false">(D13-E13)*0.25</f>
        <v>600</v>
      </c>
      <c r="G13" s="22" t="n">
        <f aca="false">(D13-E13)-F13</f>
        <v>1800</v>
      </c>
      <c r="H13" s="27" t="n">
        <v>50436</v>
      </c>
      <c r="I13" s="27" t="n">
        <v>50645</v>
      </c>
      <c r="J13" s="28" t="n">
        <f aca="false">SUM(I13-H13)/10</f>
        <v>20.9</v>
      </c>
      <c r="L13" s="29" t="n">
        <f aca="false">IF(AND(K13=0,J13=0),"",K13/J13)</f>
        <v>0</v>
      </c>
      <c r="M13" s="30"/>
      <c r="N13" s="31"/>
      <c r="O13" s="30"/>
      <c r="P13" s="30"/>
      <c r="Q13" s="33"/>
      <c r="R13" s="30"/>
      <c r="S13" s="30"/>
      <c r="T13" s="30"/>
      <c r="U13" s="30"/>
      <c r="V13" s="30"/>
      <c r="W13" s="30"/>
    </row>
    <row r="14" customFormat="false" ht="69" hidden="false" customHeight="true" outlineLevel="0" collapsed="false">
      <c r="A14" s="23" t="s">
        <v>36</v>
      </c>
      <c r="B14" s="24" t="n">
        <v>46064</v>
      </c>
      <c r="C14" s="25" t="s">
        <v>37</v>
      </c>
      <c r="D14" s="26" t="n">
        <v>800</v>
      </c>
      <c r="E14" s="26" t="n">
        <v>300</v>
      </c>
      <c r="F14" s="22" t="n">
        <f aca="false">(D14-E14)*0.25</f>
        <v>125</v>
      </c>
      <c r="G14" s="22" t="n">
        <f aca="false">(D14-E14)-F14</f>
        <v>375</v>
      </c>
      <c r="H14" s="27" t="n">
        <v>50645</v>
      </c>
      <c r="I14" s="27" t="n">
        <v>50720</v>
      </c>
      <c r="J14" s="28" t="n">
        <f aca="false">SUM(I14-H14)/10</f>
        <v>7.5</v>
      </c>
      <c r="L14" s="29" t="n">
        <f aca="false">IF(AND(K14=0,J14=0),"",K14/J14)</f>
        <v>0</v>
      </c>
      <c r="M14" s="30"/>
      <c r="N14" s="35"/>
      <c r="O14" s="30"/>
      <c r="P14" s="30"/>
      <c r="Q14" s="33"/>
      <c r="R14" s="30"/>
      <c r="S14" s="30"/>
      <c r="T14" s="30"/>
      <c r="U14" s="30"/>
      <c r="V14" s="30"/>
      <c r="W14" s="30"/>
    </row>
    <row r="15" customFormat="false" ht="69" hidden="false" customHeight="true" outlineLevel="0" collapsed="false">
      <c r="A15" s="23" t="s">
        <v>38</v>
      </c>
      <c r="B15" s="24" t="n">
        <v>46065</v>
      </c>
      <c r="C15" s="25" t="s">
        <v>26</v>
      </c>
      <c r="D15" s="26"/>
      <c r="E15" s="26"/>
      <c r="F15" s="22" t="n">
        <f aca="false">(D15-E15)*0.25</f>
        <v>-0</v>
      </c>
      <c r="G15" s="22" t="n">
        <f aca="false">(D15-E15)-F15</f>
        <v>0</v>
      </c>
      <c r="H15" s="27"/>
      <c r="I15" s="27"/>
      <c r="J15" s="28" t="n">
        <f aca="false">SUM(I15-H15)/10</f>
        <v>0</v>
      </c>
      <c r="L15" s="29" t="str">
        <f aca="false">IF(AND(K15=0,J15=0),"",K15/J15)</f>
        <v/>
      </c>
      <c r="M15" s="30"/>
      <c r="N15" s="31"/>
      <c r="O15" s="30"/>
      <c r="P15" s="30"/>
      <c r="Q15" s="33"/>
      <c r="R15" s="30"/>
      <c r="S15" s="30"/>
      <c r="T15" s="30"/>
      <c r="U15" s="30"/>
      <c r="V15" s="30"/>
      <c r="W15" s="30"/>
    </row>
    <row r="16" customFormat="false" ht="69" hidden="false" customHeight="true" outlineLevel="0" collapsed="false">
      <c r="A16" s="23" t="s">
        <v>39</v>
      </c>
      <c r="B16" s="24" t="n">
        <v>46066</v>
      </c>
      <c r="C16" s="25" t="s">
        <v>40</v>
      </c>
      <c r="D16" s="26"/>
      <c r="E16" s="26"/>
      <c r="F16" s="22" t="n">
        <f aca="false">(D16-E16)*0.25</f>
        <v>-0</v>
      </c>
      <c r="G16" s="22" t="n">
        <f aca="false">(D16-E16)-F16</f>
        <v>0</v>
      </c>
      <c r="H16" s="27"/>
      <c r="I16" s="27"/>
      <c r="J16" s="28" t="n">
        <f aca="false">SUM(I16-H16)/10</f>
        <v>0</v>
      </c>
      <c r="L16" s="29" t="str">
        <f aca="false">IF(AND(K16=0,J16=0),"",K16/J16)</f>
        <v/>
      </c>
      <c r="M16" s="30"/>
      <c r="N16" s="31"/>
      <c r="O16" s="30"/>
      <c r="P16" s="30"/>
      <c r="Q16" s="33"/>
      <c r="R16" s="30"/>
      <c r="S16" s="30"/>
      <c r="T16" s="30"/>
      <c r="U16" s="30"/>
      <c r="V16" s="30"/>
      <c r="W16" s="30"/>
    </row>
    <row r="17" customFormat="false" ht="69" hidden="false" customHeight="true" outlineLevel="0" collapsed="false">
      <c r="A17" s="23" t="s">
        <v>30</v>
      </c>
      <c r="B17" s="24" t="n">
        <v>46067</v>
      </c>
      <c r="C17" s="25" t="s">
        <v>41</v>
      </c>
      <c r="D17" s="26"/>
      <c r="E17" s="26"/>
      <c r="F17" s="22" t="n">
        <f aca="false">(D17-E17)*0.25</f>
        <v>-0</v>
      </c>
      <c r="G17" s="22" t="n">
        <f aca="false">(D17-E17)-F17</f>
        <v>0</v>
      </c>
      <c r="H17" s="27"/>
      <c r="I17" s="27"/>
      <c r="J17" s="28" t="n">
        <f aca="false">SUM(I17-H17)/10</f>
        <v>0</v>
      </c>
      <c r="L17" s="29" t="str">
        <f aca="false">IF(AND(K17=0,J17=0),"",K17/J17)</f>
        <v/>
      </c>
      <c r="M17" s="30"/>
      <c r="N17" s="31"/>
      <c r="O17" s="30"/>
      <c r="P17" s="30"/>
      <c r="Q17" s="33"/>
      <c r="R17" s="30"/>
      <c r="S17" s="30"/>
      <c r="T17" s="30"/>
      <c r="U17" s="30"/>
      <c r="V17" s="30"/>
      <c r="W17" s="30"/>
    </row>
    <row r="18" customFormat="false" ht="69" hidden="false" customHeight="true" outlineLevel="0" collapsed="false">
      <c r="A18" s="23" t="s">
        <v>31</v>
      </c>
      <c r="B18" s="24" t="n">
        <v>46068</v>
      </c>
      <c r="C18" s="25" t="s">
        <v>26</v>
      </c>
      <c r="D18" s="26"/>
      <c r="E18" s="26"/>
      <c r="F18" s="22" t="n">
        <f aca="false">(D18-E18)*0.25</f>
        <v>-0</v>
      </c>
      <c r="G18" s="22" t="n">
        <f aca="false">(D18-E18)-F18</f>
        <v>0</v>
      </c>
      <c r="H18" s="27"/>
      <c r="I18" s="27"/>
      <c r="J18" s="28" t="n">
        <f aca="false">SUM(I18-H18)/10</f>
        <v>0</v>
      </c>
      <c r="L18" s="29" t="str">
        <f aca="false">IF(AND(K18=0,J18=0),"",K18/J18)</f>
        <v/>
      </c>
      <c r="M18" s="30"/>
      <c r="N18" s="31"/>
      <c r="O18" s="30"/>
      <c r="P18" s="30"/>
      <c r="Q18" s="33"/>
      <c r="R18" s="30"/>
      <c r="S18" s="30"/>
      <c r="T18" s="30"/>
      <c r="U18" s="30"/>
      <c r="V18" s="30"/>
      <c r="W18" s="30"/>
    </row>
    <row r="19" customFormat="false" ht="69" hidden="false" customHeight="true" outlineLevel="0" collapsed="false">
      <c r="A19" s="23" t="s">
        <v>32</v>
      </c>
      <c r="B19" s="24" t="n">
        <v>46069</v>
      </c>
      <c r="C19" s="25" t="s">
        <v>42</v>
      </c>
      <c r="D19" s="26" t="n">
        <v>5600</v>
      </c>
      <c r="E19" s="26" t="n">
        <v>2000</v>
      </c>
      <c r="F19" s="22" t="n">
        <f aca="false">(D19-E19)*0.25</f>
        <v>900</v>
      </c>
      <c r="G19" s="22" t="n">
        <f aca="false">(D19-E19)-F19</f>
        <v>2700</v>
      </c>
      <c r="H19" s="27" t="n">
        <v>50720</v>
      </c>
      <c r="I19" s="27" t="n">
        <v>51036</v>
      </c>
      <c r="J19" s="28" t="n">
        <f aca="false">SUM(I19-H19)/10</f>
        <v>31.6</v>
      </c>
      <c r="K19" s="4" t="n">
        <v>33</v>
      </c>
      <c r="L19" s="29" t="n">
        <f aca="false">IF(AND(K19=0,J19=0),"",K19/J19)</f>
        <v>1.04430379746835</v>
      </c>
      <c r="M19" s="30"/>
      <c r="N19" s="31"/>
      <c r="O19" s="30"/>
      <c r="P19" s="30"/>
      <c r="Q19" s="33"/>
      <c r="R19" s="30"/>
      <c r="S19" s="30"/>
      <c r="T19" s="30"/>
      <c r="U19" s="30"/>
      <c r="V19" s="30"/>
      <c r="W19" s="30"/>
    </row>
    <row r="20" customFormat="false" ht="69" hidden="false" customHeight="true" outlineLevel="0" collapsed="false">
      <c r="A20" s="23" t="s">
        <v>34</v>
      </c>
      <c r="B20" s="24" t="n">
        <v>46070</v>
      </c>
      <c r="C20" s="25" t="s">
        <v>43</v>
      </c>
      <c r="D20" s="26"/>
      <c r="E20" s="26"/>
      <c r="F20" s="22" t="n">
        <f aca="false">(D20-E20)*0.25</f>
        <v>-0</v>
      </c>
      <c r="G20" s="22" t="n">
        <f aca="false">(D20-E20)-F20</f>
        <v>0</v>
      </c>
      <c r="H20" s="27"/>
      <c r="I20" s="27"/>
      <c r="J20" s="28" t="n">
        <f aca="false">SUM(I20-H20)/10</f>
        <v>0</v>
      </c>
      <c r="L20" s="29" t="str">
        <f aca="false">IF(AND(K20=0,J20=0),"",K20/J20)</f>
        <v/>
      </c>
      <c r="M20" s="30"/>
      <c r="N20" s="31"/>
      <c r="O20" s="30"/>
      <c r="P20" s="30"/>
      <c r="Q20" s="33"/>
      <c r="R20" s="30"/>
      <c r="S20" s="30"/>
      <c r="T20" s="30"/>
      <c r="U20" s="30"/>
      <c r="V20" s="30"/>
      <c r="W20" s="30"/>
    </row>
    <row r="21" customFormat="false" ht="69" hidden="false" customHeight="true" outlineLevel="0" collapsed="false">
      <c r="A21" s="23" t="s">
        <v>36</v>
      </c>
      <c r="B21" s="24" t="n">
        <v>46071</v>
      </c>
      <c r="C21" s="25" t="s">
        <v>44</v>
      </c>
      <c r="D21" s="26" t="n">
        <v>3200</v>
      </c>
      <c r="E21" s="26" t="n">
        <v>1259.71</v>
      </c>
      <c r="F21" s="22" t="n">
        <f aca="false">(D21-E21)*0.25</f>
        <v>485.0725</v>
      </c>
      <c r="G21" s="22" t="n">
        <f aca="false">(D21-E21)-F21</f>
        <v>1455.2175</v>
      </c>
      <c r="H21" s="27" t="n">
        <v>51070</v>
      </c>
      <c r="I21" s="27" t="n">
        <v>51229</v>
      </c>
      <c r="J21" s="28" t="n">
        <f aca="false">SUM(I21-H21)/10</f>
        <v>15.9</v>
      </c>
      <c r="K21" s="4" t="n">
        <v>21.43</v>
      </c>
      <c r="L21" s="29" t="n">
        <f aca="false">IF(AND(K21=0,J21=0),"",K21/J21)</f>
        <v>1.34779874213836</v>
      </c>
      <c r="M21" s="30"/>
      <c r="N21" s="31"/>
      <c r="O21" s="30"/>
      <c r="P21" s="30"/>
      <c r="Q21" s="33"/>
      <c r="R21" s="30"/>
      <c r="S21" s="30"/>
      <c r="T21" s="30"/>
      <c r="U21" s="30"/>
      <c r="V21" s="30"/>
      <c r="W21" s="30"/>
    </row>
    <row r="22" customFormat="false" ht="69" hidden="false" customHeight="true" outlineLevel="0" collapsed="false">
      <c r="A22" s="23" t="s">
        <v>38</v>
      </c>
      <c r="B22" s="24" t="n">
        <v>46072</v>
      </c>
      <c r="C22" s="25" t="s">
        <v>45</v>
      </c>
      <c r="D22" s="26" t="n">
        <v>2000</v>
      </c>
      <c r="E22" s="26" t="n">
        <v>651.32</v>
      </c>
      <c r="F22" s="22" t="n">
        <f aca="false">(D22-E22)*0.25</f>
        <v>337.17</v>
      </c>
      <c r="G22" s="22" t="n">
        <f aca="false">(D22-E22)-F22</f>
        <v>1011.51</v>
      </c>
      <c r="H22" s="27" t="n">
        <v>51229</v>
      </c>
      <c r="I22" s="27" t="n">
        <v>51348</v>
      </c>
      <c r="J22" s="28" t="n">
        <f aca="false">SUM(I22-H22)/10</f>
        <v>11.9</v>
      </c>
      <c r="K22" s="4" t="n">
        <v>11.29</v>
      </c>
      <c r="L22" s="29" t="n">
        <f aca="false">IF(AND(K22=0,J22=0),"",K22/J22)</f>
        <v>0.948739495798319</v>
      </c>
      <c r="M22" s="30"/>
      <c r="N22" s="31"/>
      <c r="O22" s="30"/>
      <c r="P22" s="30"/>
      <c r="Q22" s="33"/>
      <c r="R22" s="30"/>
      <c r="S22" s="30"/>
      <c r="T22" s="30"/>
      <c r="U22" s="30"/>
      <c r="V22" s="30"/>
      <c r="W22" s="30"/>
    </row>
    <row r="23" customFormat="false" ht="69" hidden="false" customHeight="true" outlineLevel="0" collapsed="false">
      <c r="A23" s="23" t="s">
        <v>39</v>
      </c>
      <c r="B23" s="24" t="n">
        <v>46073</v>
      </c>
      <c r="C23" s="25" t="s">
        <v>46</v>
      </c>
      <c r="D23" s="26" t="n">
        <v>3500</v>
      </c>
      <c r="E23" s="26" t="n">
        <v>1290.11</v>
      </c>
      <c r="F23" s="22" t="n">
        <f aca="false">(D23-E23)*0.25</f>
        <v>552.4725</v>
      </c>
      <c r="G23" s="22" t="n">
        <f aca="false">(D23-E23)-F23</f>
        <v>1657.4175</v>
      </c>
      <c r="H23" s="27" t="n">
        <v>51348</v>
      </c>
      <c r="I23" s="27" t="n">
        <v>51552</v>
      </c>
      <c r="J23" s="28" t="n">
        <f aca="false">SUM(I23-H23)/10</f>
        <v>20.4</v>
      </c>
      <c r="K23" s="4" t="n">
        <v>22.36</v>
      </c>
      <c r="L23" s="29" t="n">
        <f aca="false">IF(AND(K23=0,J23=0),"",K23/J23)</f>
        <v>1.09607843137255</v>
      </c>
      <c r="M23" s="30"/>
      <c r="N23" s="31"/>
      <c r="O23" s="30"/>
      <c r="P23" s="30"/>
      <c r="Q23" s="33"/>
      <c r="R23" s="30"/>
      <c r="S23" s="30"/>
      <c r="T23" s="30"/>
      <c r="U23" s="30"/>
      <c r="V23" s="30"/>
      <c r="W23" s="30"/>
    </row>
    <row r="24" customFormat="false" ht="69" hidden="false" customHeight="true" outlineLevel="0" collapsed="false">
      <c r="A24" s="23" t="s">
        <v>30</v>
      </c>
      <c r="B24" s="24" t="n">
        <v>46074</v>
      </c>
      <c r="C24" s="25" t="s">
        <v>47</v>
      </c>
      <c r="D24" s="26" t="n">
        <v>3300</v>
      </c>
      <c r="E24" s="26" t="n">
        <v>1212.78</v>
      </c>
      <c r="F24" s="22" t="n">
        <f aca="false">(D24-E24)*0.25</f>
        <v>521.805</v>
      </c>
      <c r="G24" s="22" t="n">
        <f aca="false">(D24-E24)-F24</f>
        <v>1565.415</v>
      </c>
      <c r="H24" s="27" t="n">
        <v>51552</v>
      </c>
      <c r="I24" s="27" t="n">
        <v>51747</v>
      </c>
      <c r="J24" s="28" t="n">
        <f aca="false">SUM(I24-H24)/10</f>
        <v>19.5</v>
      </c>
      <c r="K24" s="4" t="n">
        <v>21.95</v>
      </c>
      <c r="L24" s="29" t="n">
        <f aca="false">IF(AND(K24=0,J24=0),"",K24/J24)</f>
        <v>1.12564102564103</v>
      </c>
      <c r="M24" s="30"/>
      <c r="N24" s="31"/>
      <c r="O24" s="30"/>
      <c r="P24" s="30"/>
      <c r="Q24" s="33"/>
      <c r="R24" s="30"/>
      <c r="S24" s="30"/>
      <c r="T24" s="30"/>
      <c r="U24" s="30"/>
      <c r="V24" s="30"/>
      <c r="W24" s="30"/>
    </row>
    <row r="25" customFormat="false" ht="69" hidden="false" customHeight="true" outlineLevel="0" collapsed="false">
      <c r="A25" s="23" t="s">
        <v>31</v>
      </c>
      <c r="B25" s="24" t="n">
        <v>46075</v>
      </c>
      <c r="C25" s="25" t="s">
        <v>48</v>
      </c>
      <c r="D25" s="26" t="n">
        <v>3600</v>
      </c>
      <c r="E25" s="26" t="n">
        <v>1258.61</v>
      </c>
      <c r="F25" s="22" t="n">
        <f aca="false">(D25-E25)*0.25</f>
        <v>585.3475</v>
      </c>
      <c r="G25" s="22" t="n">
        <f aca="false">(D25-E25)-F25</f>
        <v>1756.0425</v>
      </c>
      <c r="H25" s="27" t="n">
        <v>51747</v>
      </c>
      <c r="I25" s="27" t="n">
        <v>51980</v>
      </c>
      <c r="J25" s="28" t="n">
        <f aca="false">SUM(I25-H25)/10</f>
        <v>23.3</v>
      </c>
      <c r="L25" s="29" t="n">
        <f aca="false">IF(AND(K25=0,J25=0),"",K25/J25)</f>
        <v>0</v>
      </c>
      <c r="M25" s="30"/>
      <c r="N25" s="31"/>
      <c r="O25" s="30"/>
      <c r="P25" s="30"/>
      <c r="Q25" s="33"/>
      <c r="R25" s="30"/>
      <c r="S25" s="30"/>
      <c r="T25" s="30"/>
      <c r="U25" s="30"/>
      <c r="V25" s="30"/>
      <c r="W25" s="30"/>
    </row>
    <row r="26" customFormat="false" ht="69" hidden="false" customHeight="true" outlineLevel="0" collapsed="false">
      <c r="A26" s="23" t="s">
        <v>32</v>
      </c>
      <c r="B26" s="24" t="n">
        <v>46076</v>
      </c>
      <c r="C26" s="25" t="s">
        <v>49</v>
      </c>
      <c r="D26" s="26" t="n">
        <v>3300</v>
      </c>
      <c r="E26" s="26" t="n">
        <v>1359.26</v>
      </c>
      <c r="F26" s="22" t="n">
        <f aca="false">(D26-E26)*0.25</f>
        <v>485.185</v>
      </c>
      <c r="G26" s="22" t="n">
        <f aca="false">(D26-E26)-F26</f>
        <v>1455.555</v>
      </c>
      <c r="H26" s="27" t="n">
        <v>51980</v>
      </c>
      <c r="I26" s="27" t="n">
        <v>52163</v>
      </c>
      <c r="J26" s="28" t="n">
        <f aca="false">SUM(I26-H26)/10</f>
        <v>18.3</v>
      </c>
      <c r="L26" s="29" t="n">
        <f aca="false">IF(AND(K26=0,J26=0),"",K26/J26)</f>
        <v>0</v>
      </c>
      <c r="M26" s="36" t="n">
        <f aca="false">SUM(G5:G26)</f>
        <v>18800.5575</v>
      </c>
      <c r="N26" s="37" t="n">
        <v>15530</v>
      </c>
      <c r="O26" s="38"/>
      <c r="P26" s="38" t="n">
        <v>46076</v>
      </c>
      <c r="Q26" s="33"/>
      <c r="R26" s="30"/>
      <c r="S26" s="30"/>
      <c r="T26" s="30"/>
      <c r="U26" s="30"/>
      <c r="V26" s="30"/>
      <c r="W26" s="30"/>
    </row>
    <row r="27" customFormat="false" ht="69" hidden="false" customHeight="true" outlineLevel="0" collapsed="false">
      <c r="A27" s="23" t="s">
        <v>34</v>
      </c>
      <c r="B27" s="24" t="n">
        <v>46077</v>
      </c>
      <c r="C27" s="25" t="s">
        <v>50</v>
      </c>
      <c r="D27" s="26" t="n">
        <v>3500</v>
      </c>
      <c r="E27" s="26" t="n">
        <v>1319.17</v>
      </c>
      <c r="F27" s="22" t="n">
        <f aca="false">(D27-E27)*0.25</f>
        <v>545.2075</v>
      </c>
      <c r="G27" s="22" t="n">
        <f aca="false">(D27-E27)-F27</f>
        <v>1635.6225</v>
      </c>
      <c r="H27" s="27" t="n">
        <v>52163</v>
      </c>
      <c r="I27" s="27" t="n">
        <v>52365</v>
      </c>
      <c r="J27" s="28" t="n">
        <f aca="false">SUM(I27-H27)/10</f>
        <v>20.2</v>
      </c>
      <c r="L27" s="29" t="n">
        <f aca="false">IF(AND(K27=0,J27=0),"",K27/J27)</f>
        <v>0</v>
      </c>
      <c r="M27" s="30"/>
      <c r="N27" s="31"/>
      <c r="O27" s="30"/>
      <c r="P27" s="30"/>
      <c r="Q27" s="33"/>
      <c r="R27" s="30"/>
      <c r="S27" s="30"/>
      <c r="T27" s="30"/>
      <c r="U27" s="30"/>
      <c r="V27" s="30"/>
      <c r="W27" s="30"/>
    </row>
    <row r="28" customFormat="false" ht="69" hidden="false" customHeight="true" outlineLevel="0" collapsed="false">
      <c r="A28" s="23" t="s">
        <v>36</v>
      </c>
      <c r="B28" s="24" t="n">
        <v>46078</v>
      </c>
      <c r="C28" s="25" t="s">
        <v>51</v>
      </c>
      <c r="D28" s="26" t="n">
        <v>3300</v>
      </c>
      <c r="E28" s="26" t="n">
        <v>1061.59</v>
      </c>
      <c r="F28" s="22" t="n">
        <f aca="false">(D28-E28)*0.25</f>
        <v>559.6025</v>
      </c>
      <c r="G28" s="22" t="n">
        <f aca="false">(D28-E28)-F28</f>
        <v>1678.8075</v>
      </c>
      <c r="H28" s="27" t="n">
        <v>52365</v>
      </c>
      <c r="I28" s="27" t="n">
        <v>52549</v>
      </c>
      <c r="J28" s="28" t="n">
        <f aca="false">SUM(I28-H28)/10</f>
        <v>18.4</v>
      </c>
      <c r="K28" s="4" t="n">
        <v>18.63</v>
      </c>
      <c r="L28" s="29" t="n">
        <f aca="false">IF(AND(K28=0,J28=0),"",K28/J28)</f>
        <v>1.0125</v>
      </c>
      <c r="M28" s="30"/>
      <c r="N28" s="31"/>
      <c r="O28" s="30"/>
      <c r="P28" s="30"/>
      <c r="Q28" s="33"/>
      <c r="R28" s="30"/>
      <c r="S28" s="30"/>
      <c r="T28" s="30"/>
      <c r="U28" s="30"/>
      <c r="V28" s="30"/>
      <c r="W28" s="30"/>
    </row>
    <row r="29" customFormat="false" ht="69" hidden="false" customHeight="true" outlineLevel="0" collapsed="false">
      <c r="A29" s="23" t="s">
        <v>38</v>
      </c>
      <c r="B29" s="24" t="n">
        <v>46079</v>
      </c>
      <c r="C29" s="25" t="s">
        <v>52</v>
      </c>
      <c r="D29" s="26" t="n">
        <v>6000</v>
      </c>
      <c r="E29" s="26" t="n">
        <v>2506.58</v>
      </c>
      <c r="F29" s="22" t="n">
        <f aca="false">(D29-E29)*0.25</f>
        <v>873.355</v>
      </c>
      <c r="G29" s="22" t="n">
        <f aca="false">(D29-E29)-F29</f>
        <v>2620.065</v>
      </c>
      <c r="H29" s="27" t="n">
        <v>52549</v>
      </c>
      <c r="I29" s="27" t="n">
        <v>52955</v>
      </c>
      <c r="J29" s="28" t="n">
        <f aca="false">SUM(I29-H29)/10</f>
        <v>40.6</v>
      </c>
      <c r="K29" s="4" t="n">
        <v>44.15</v>
      </c>
      <c r="L29" s="29" t="n">
        <f aca="false">IF(AND(K29=0,J29=0),"",K29/J29)</f>
        <v>1.08743842364532</v>
      </c>
      <c r="M29" s="36"/>
      <c r="N29" s="31"/>
      <c r="O29" s="30"/>
      <c r="P29" s="30"/>
      <c r="Q29" s="33"/>
      <c r="R29" s="30"/>
      <c r="S29" s="30"/>
      <c r="T29" s="30"/>
      <c r="U29" s="30"/>
      <c r="V29" s="30"/>
      <c r="W29" s="30"/>
    </row>
    <row r="30" customFormat="false" ht="69" hidden="false" customHeight="true" outlineLevel="0" collapsed="false">
      <c r="A30" s="23" t="s">
        <v>39</v>
      </c>
      <c r="B30" s="24" t="n">
        <v>46080</v>
      </c>
      <c r="C30" s="25" t="s">
        <v>53</v>
      </c>
      <c r="D30" s="26"/>
      <c r="E30" s="26"/>
      <c r="F30" s="22" t="n">
        <f aca="false">(D30-E30)*0.25</f>
        <v>-0</v>
      </c>
      <c r="G30" s="22" t="n">
        <f aca="false">(D30-E30)-F30</f>
        <v>0</v>
      </c>
      <c r="H30" s="27" t="n">
        <v>52955</v>
      </c>
      <c r="I30" s="27" t="n">
        <v>53000</v>
      </c>
      <c r="J30" s="28" t="n">
        <f aca="false">SUM(I30-H30)/10</f>
        <v>4.5</v>
      </c>
      <c r="L30" s="29" t="n">
        <f aca="false">IF(AND(K30=0,J30=0),"",K30/J30)</f>
        <v>0</v>
      </c>
      <c r="M30" s="30"/>
      <c r="N30" s="31"/>
      <c r="O30" s="30"/>
      <c r="P30" s="30"/>
      <c r="Q30" s="33"/>
      <c r="R30" s="30"/>
      <c r="S30" s="30"/>
      <c r="T30" s="30"/>
      <c r="U30" s="30"/>
      <c r="V30" s="30"/>
      <c r="W30" s="30"/>
    </row>
    <row r="31" customFormat="false" ht="69" hidden="false" customHeight="true" outlineLevel="0" collapsed="false">
      <c r="A31" s="23" t="s">
        <v>30</v>
      </c>
      <c r="B31" s="24" t="n">
        <v>46081</v>
      </c>
      <c r="C31" s="25" t="s">
        <v>54</v>
      </c>
      <c r="D31" s="26" t="n">
        <v>4500</v>
      </c>
      <c r="E31" s="26" t="n">
        <v>2000</v>
      </c>
      <c r="F31" s="22" t="n">
        <f aca="false">(D31-E31)*0.25</f>
        <v>625</v>
      </c>
      <c r="G31" s="22" t="n">
        <f aca="false">(D31-E31)-F31</f>
        <v>1875</v>
      </c>
      <c r="H31" s="27" t="n">
        <v>53000</v>
      </c>
      <c r="I31" s="27" t="n">
        <v>53287</v>
      </c>
      <c r="J31" s="28" t="n">
        <f aca="false">SUM(I31-H31)/10</f>
        <v>28.7</v>
      </c>
      <c r="K31" s="4" t="n">
        <v>35.25</v>
      </c>
      <c r="L31" s="29" t="n">
        <f aca="false">IF(AND(K31=0,J31=0),"",K31/J31)</f>
        <v>1.22822299651568</v>
      </c>
      <c r="M31" s="36" t="n">
        <f aca="false">SUM(G26:G31)</f>
        <v>9265.05</v>
      </c>
      <c r="N31" s="37" t="n">
        <f aca="false">M31-Q31</f>
        <v>8780.05</v>
      </c>
      <c r="O31" s="36" t="n">
        <v>8719</v>
      </c>
      <c r="P31" s="38" t="n">
        <v>46056</v>
      </c>
      <c r="Q31" s="34" t="n">
        <v>485</v>
      </c>
      <c r="R31" s="30"/>
      <c r="S31" s="30"/>
      <c r="T31" s="30"/>
      <c r="U31" s="30"/>
      <c r="V31" s="30"/>
      <c r="W31" s="30"/>
    </row>
    <row r="32" customFormat="false" ht="69" hidden="false" customHeight="true" outlineLevel="0" collapsed="false">
      <c r="A32" s="23" t="s">
        <v>31</v>
      </c>
      <c r="B32" s="24" t="n">
        <v>46082</v>
      </c>
      <c r="C32" s="25" t="s">
        <v>55</v>
      </c>
      <c r="D32" s="26" t="n">
        <v>1000</v>
      </c>
      <c r="E32" s="26" t="n">
        <v>465.2</v>
      </c>
      <c r="F32" s="22" t="n">
        <f aca="false">(D32-E32)*0.25</f>
        <v>133.7</v>
      </c>
      <c r="G32" s="22" t="n">
        <f aca="false">(D32-E32)-F32</f>
        <v>401.1</v>
      </c>
      <c r="H32" s="27" t="n">
        <v>53287</v>
      </c>
      <c r="I32" s="27" t="n">
        <v>53329</v>
      </c>
      <c r="J32" s="28" t="n">
        <f aca="false">SUM(I32-H32)/10</f>
        <v>4.2</v>
      </c>
      <c r="L32" s="29" t="n">
        <f aca="false">IF(AND(K32=0,J32=0),"",K32/J32)</f>
        <v>0</v>
      </c>
      <c r="M32" s="30"/>
      <c r="N32" s="31"/>
      <c r="O32" s="30"/>
      <c r="P32" s="30"/>
      <c r="Q32" s="33"/>
      <c r="R32" s="30"/>
      <c r="S32" s="30"/>
      <c r="T32" s="30"/>
      <c r="U32" s="30"/>
      <c r="V32" s="30"/>
      <c r="W32" s="30"/>
    </row>
    <row r="33" customFormat="false" ht="69" hidden="false" customHeight="true" outlineLevel="0" collapsed="false">
      <c r="A33" s="23" t="s">
        <v>32</v>
      </c>
      <c r="B33" s="24" t="n">
        <v>46083</v>
      </c>
      <c r="C33" s="25" t="s">
        <v>56</v>
      </c>
      <c r="D33" s="26" t="n">
        <v>600</v>
      </c>
      <c r="E33" s="26" t="n">
        <v>250</v>
      </c>
      <c r="F33" s="22" t="n">
        <f aca="false">(D33-E33)*0.25</f>
        <v>87.5</v>
      </c>
      <c r="G33" s="22" t="n">
        <f aca="false">(D33-E33)-F33</f>
        <v>262.5</v>
      </c>
      <c r="H33" s="27" t="n">
        <v>53329</v>
      </c>
      <c r="I33" s="27" t="n">
        <v>53365</v>
      </c>
      <c r="J33" s="28" t="n">
        <f aca="false">SUM(I33-H33)/10</f>
        <v>3.6</v>
      </c>
      <c r="K33" s="4" t="n">
        <v>4.4</v>
      </c>
      <c r="L33" s="29" t="n">
        <f aca="false">IF(AND(K33=0,J33=0),"",K33/J33)</f>
        <v>1.22222222222222</v>
      </c>
      <c r="M33" s="30"/>
      <c r="N33" s="31"/>
      <c r="O33" s="30"/>
      <c r="P33" s="30"/>
      <c r="Q33" s="33"/>
      <c r="R33" s="30"/>
      <c r="S33" s="30"/>
      <c r="T33" s="30"/>
      <c r="U33" s="30"/>
      <c r="V33" s="30"/>
      <c r="W33" s="30"/>
    </row>
    <row r="34" customFormat="false" ht="69" hidden="false" customHeight="true" outlineLevel="0" collapsed="false">
      <c r="A34" s="23" t="s">
        <v>34</v>
      </c>
      <c r="B34" s="24" t="n">
        <v>46084</v>
      </c>
      <c r="C34" s="25" t="s">
        <v>57</v>
      </c>
      <c r="D34" s="26" t="n">
        <v>700</v>
      </c>
      <c r="E34" s="26" t="n">
        <v>200</v>
      </c>
      <c r="F34" s="22" t="n">
        <f aca="false">(D34-E34)*0.25</f>
        <v>125</v>
      </c>
      <c r="G34" s="22" t="n">
        <f aca="false">(D34-E34)-F34</f>
        <v>375</v>
      </c>
      <c r="H34" s="27" t="n">
        <v>53365</v>
      </c>
      <c r="I34" s="27" t="n">
        <v>53424</v>
      </c>
      <c r="J34" s="28" t="n">
        <f aca="false">SUM(I34-H34)/10</f>
        <v>5.9</v>
      </c>
      <c r="L34" s="29" t="n">
        <f aca="false">IF(AND(K34=0,J34=0),"",K34/J34)</f>
        <v>0</v>
      </c>
      <c r="M34" s="30"/>
      <c r="N34" s="37"/>
      <c r="O34" s="30"/>
      <c r="P34" s="30"/>
      <c r="Q34" s="33"/>
      <c r="R34" s="30"/>
      <c r="S34" s="30"/>
      <c r="T34" s="30"/>
      <c r="U34" s="30"/>
      <c r="V34" s="30"/>
      <c r="W34" s="30"/>
    </row>
    <row r="35" customFormat="false" ht="69" hidden="false" customHeight="true" outlineLevel="0" collapsed="false">
      <c r="A35" s="23" t="s">
        <v>36</v>
      </c>
      <c r="B35" s="24" t="n">
        <v>46085</v>
      </c>
      <c r="C35" s="25" t="s">
        <v>58</v>
      </c>
      <c r="D35" s="26" t="n">
        <v>1000</v>
      </c>
      <c r="E35" s="26" t="n">
        <v>320.58</v>
      </c>
      <c r="F35" s="22" t="n">
        <f aca="false">(D35-E35)*0.25</f>
        <v>169.855</v>
      </c>
      <c r="G35" s="22" t="n">
        <f aca="false">(D35-E35)-F35</f>
        <v>509.565</v>
      </c>
      <c r="H35" s="27" t="n">
        <v>53424</v>
      </c>
      <c r="I35" s="27" t="n">
        <v>53466</v>
      </c>
      <c r="J35" s="28" t="n">
        <f aca="false">SUM(I35-H35)/10</f>
        <v>4.2</v>
      </c>
      <c r="K35" s="4" t="n">
        <v>5.4</v>
      </c>
      <c r="L35" s="29" t="n">
        <f aca="false">IF(AND(K35=0,J35=0),"",K35/J35)</f>
        <v>1.28571428571429</v>
      </c>
      <c r="M35" s="30"/>
      <c r="N35" s="31"/>
      <c r="O35" s="30"/>
      <c r="P35" s="30"/>
      <c r="Q35" s="33"/>
      <c r="R35" s="30"/>
      <c r="S35" s="30"/>
      <c r="T35" s="30"/>
      <c r="U35" s="30"/>
      <c r="V35" s="30"/>
      <c r="W35" s="30"/>
    </row>
    <row r="36" customFormat="false" ht="69" hidden="false" customHeight="true" outlineLevel="0" collapsed="false">
      <c r="A36" s="23" t="s">
        <v>38</v>
      </c>
      <c r="B36" s="24" t="n">
        <v>46086</v>
      </c>
      <c r="C36" s="25" t="s">
        <v>26</v>
      </c>
      <c r="D36" s="26"/>
      <c r="E36" s="26"/>
      <c r="F36" s="22" t="n">
        <f aca="false">(D36-E36)*0.25</f>
        <v>-0</v>
      </c>
      <c r="G36" s="22" t="n">
        <f aca="false">(D36-E36)-F36</f>
        <v>0</v>
      </c>
      <c r="H36" s="27"/>
      <c r="I36" s="27"/>
      <c r="J36" s="28" t="n">
        <f aca="false">SUM(I36-H36)/10</f>
        <v>0</v>
      </c>
      <c r="L36" s="29" t="str">
        <f aca="false">IF(AND(K36=0,J36=0),"",K36/J36)</f>
        <v/>
      </c>
      <c r="M36" s="30"/>
      <c r="N36" s="31"/>
      <c r="O36" s="30"/>
      <c r="P36" s="30"/>
      <c r="Q36" s="33"/>
      <c r="R36" s="30"/>
      <c r="S36" s="30"/>
      <c r="T36" s="30"/>
      <c r="U36" s="30"/>
      <c r="V36" s="30"/>
      <c r="W36" s="30"/>
    </row>
    <row r="37" customFormat="false" ht="69" hidden="false" customHeight="true" outlineLevel="0" collapsed="false">
      <c r="A37" s="23" t="s">
        <v>39</v>
      </c>
      <c r="B37" s="24" t="n">
        <v>46087</v>
      </c>
      <c r="C37" s="25" t="s">
        <v>26</v>
      </c>
      <c r="D37" s="26"/>
      <c r="E37" s="26"/>
      <c r="F37" s="22" t="n">
        <f aca="false">(D37-E37)*0.25</f>
        <v>-0</v>
      </c>
      <c r="G37" s="22" t="n">
        <f aca="false">(D37-E37)-F37</f>
        <v>0</v>
      </c>
      <c r="H37" s="27"/>
      <c r="I37" s="27"/>
      <c r="J37" s="28" t="n">
        <f aca="false">SUM(I37-H37)/10</f>
        <v>0</v>
      </c>
      <c r="L37" s="29" t="str">
        <f aca="false">IF(AND(K37=0,J37=0),"",K37/J37)</f>
        <v/>
      </c>
      <c r="M37" s="30"/>
      <c r="N37" s="31"/>
      <c r="O37" s="30"/>
      <c r="P37" s="30"/>
      <c r="Q37" s="33"/>
      <c r="R37" s="30"/>
      <c r="S37" s="30"/>
      <c r="T37" s="30"/>
      <c r="U37" s="30"/>
      <c r="V37" s="30"/>
      <c r="W37" s="30"/>
    </row>
    <row r="38" customFormat="false" ht="69" hidden="false" customHeight="true" outlineLevel="0" collapsed="false">
      <c r="A38" s="23" t="s">
        <v>30</v>
      </c>
      <c r="B38" s="24" t="n">
        <v>46088</v>
      </c>
      <c r="C38" s="25" t="s">
        <v>59</v>
      </c>
      <c r="D38" s="26" t="n">
        <v>2000</v>
      </c>
      <c r="E38" s="26" t="n">
        <v>501</v>
      </c>
      <c r="F38" s="22" t="n">
        <f aca="false">(D38-E38)*0.25</f>
        <v>374.75</v>
      </c>
      <c r="G38" s="22" t="n">
        <f aca="false">(D38-E38)-F38</f>
        <v>1124.25</v>
      </c>
      <c r="H38" s="27" t="n">
        <v>53466</v>
      </c>
      <c r="I38" s="27" t="n">
        <v>53541</v>
      </c>
      <c r="J38" s="28" t="n">
        <f aca="false">SUM(I38-H38)/10</f>
        <v>7.5</v>
      </c>
      <c r="L38" s="29" t="n">
        <f aca="false">IF(AND(K38=0,J38=0),"",K38/J38)</f>
        <v>0</v>
      </c>
      <c r="M38" s="30"/>
      <c r="N38" s="31"/>
      <c r="O38" s="30"/>
      <c r="P38" s="30"/>
      <c r="Q38" s="33"/>
      <c r="R38" s="30"/>
      <c r="S38" s="30"/>
      <c r="T38" s="30"/>
      <c r="U38" s="30"/>
      <c r="V38" s="30"/>
      <c r="W38" s="30"/>
    </row>
    <row r="39" customFormat="false" ht="69" hidden="false" customHeight="true" outlineLevel="0" collapsed="false">
      <c r="A39" s="23" t="s">
        <v>31</v>
      </c>
      <c r="B39" s="24" t="n">
        <v>46089</v>
      </c>
      <c r="C39" s="25" t="s">
        <v>60</v>
      </c>
      <c r="D39" s="26" t="n">
        <v>4500</v>
      </c>
      <c r="E39" s="26" t="n">
        <v>1910.7</v>
      </c>
      <c r="F39" s="22" t="n">
        <f aca="false">(D39-E39)*0.25</f>
        <v>647.325</v>
      </c>
      <c r="G39" s="22" t="n">
        <f aca="false">(D39-E39)-F39</f>
        <v>1941.975</v>
      </c>
      <c r="H39" s="27" t="n">
        <v>53541</v>
      </c>
      <c r="I39" s="27" t="n">
        <v>53790</v>
      </c>
      <c r="J39" s="28" t="n">
        <f aca="false">SUM(I39-H39)/10</f>
        <v>24.9</v>
      </c>
      <c r="K39" s="4" t="n">
        <v>31.22</v>
      </c>
      <c r="L39" s="29" t="n">
        <f aca="false">IF(AND(K39=0,J39=0),"",K39/J39)</f>
        <v>1.25381526104418</v>
      </c>
      <c r="M39" s="30"/>
      <c r="N39" s="31"/>
      <c r="O39" s="30"/>
      <c r="P39" s="30"/>
      <c r="Q39" s="33"/>
      <c r="R39" s="30"/>
      <c r="S39" s="30"/>
      <c r="T39" s="30"/>
      <c r="U39" s="30"/>
      <c r="V39" s="30"/>
      <c r="W39" s="30"/>
    </row>
    <row r="40" customFormat="false" ht="69" hidden="false" customHeight="true" outlineLevel="0" collapsed="false">
      <c r="A40" s="23" t="s">
        <v>32</v>
      </c>
      <c r="B40" s="24" t="n">
        <v>46090</v>
      </c>
      <c r="C40" s="25" t="s">
        <v>26</v>
      </c>
      <c r="D40" s="26"/>
      <c r="E40" s="26"/>
      <c r="F40" s="22" t="n">
        <f aca="false">(D40-E40)*0.25</f>
        <v>-0</v>
      </c>
      <c r="G40" s="22" t="n">
        <f aca="false">(D40-E40)-F40</f>
        <v>0</v>
      </c>
      <c r="H40" s="27"/>
      <c r="I40" s="27"/>
      <c r="J40" s="28" t="n">
        <f aca="false">SUM(I40-H40)/10</f>
        <v>0</v>
      </c>
      <c r="L40" s="29" t="str">
        <f aca="false">IF(AND(K40=0,J40=0),"",K40/J40)</f>
        <v/>
      </c>
      <c r="M40" s="30"/>
      <c r="N40" s="31"/>
      <c r="O40" s="30"/>
      <c r="P40" s="30"/>
      <c r="Q40" s="33"/>
      <c r="R40" s="30"/>
      <c r="S40" s="30"/>
      <c r="T40" s="30"/>
      <c r="U40" s="30"/>
      <c r="V40" s="30"/>
      <c r="W40" s="30"/>
    </row>
    <row r="41" customFormat="false" ht="69" hidden="false" customHeight="true" outlineLevel="0" collapsed="false">
      <c r="A41" s="23" t="s">
        <v>34</v>
      </c>
      <c r="B41" s="24" t="n">
        <v>46091</v>
      </c>
      <c r="C41" s="25" t="s">
        <v>61</v>
      </c>
      <c r="D41" s="26" t="n">
        <v>3500</v>
      </c>
      <c r="E41" s="26" t="n">
        <v>1500</v>
      </c>
      <c r="F41" s="22" t="n">
        <f aca="false">(D41-E41)*0.25</f>
        <v>500</v>
      </c>
      <c r="G41" s="22" t="n">
        <f aca="false">(D41-E41)-F41</f>
        <v>1500</v>
      </c>
      <c r="H41" s="27" t="n">
        <v>53790</v>
      </c>
      <c r="I41" s="27" t="n">
        <v>54017</v>
      </c>
      <c r="J41" s="28" t="n">
        <f aca="false">SUM(I41-H41)/10</f>
        <v>22.7</v>
      </c>
      <c r="K41" s="4" t="n">
        <v>20.26</v>
      </c>
      <c r="L41" s="29" t="n">
        <f aca="false">IF(AND(K41=0,J41=0),"",K41/J41)</f>
        <v>0.892511013215859</v>
      </c>
      <c r="M41" s="30"/>
      <c r="N41" s="31"/>
      <c r="O41" s="30"/>
      <c r="P41" s="30"/>
      <c r="Q41" s="33"/>
      <c r="R41" s="30"/>
      <c r="S41" s="30"/>
      <c r="T41" s="30"/>
      <c r="U41" s="30"/>
      <c r="V41" s="30"/>
      <c r="W41" s="30"/>
    </row>
    <row r="42" customFormat="false" ht="69" hidden="false" customHeight="true" outlineLevel="0" collapsed="false">
      <c r="A42" s="23" t="s">
        <v>36</v>
      </c>
      <c r="B42" s="24" t="n">
        <v>46092</v>
      </c>
      <c r="C42" s="25" t="s">
        <v>62</v>
      </c>
      <c r="D42" s="26" t="n">
        <v>3500</v>
      </c>
      <c r="E42" s="26" t="n">
        <v>1319.17</v>
      </c>
      <c r="F42" s="22" t="n">
        <f aca="false">(D42-E42)*0.25</f>
        <v>545.2075</v>
      </c>
      <c r="G42" s="22" t="n">
        <f aca="false">(D42-E42)-F42</f>
        <v>1635.6225</v>
      </c>
      <c r="H42" s="27" t="n">
        <v>54017</v>
      </c>
      <c r="I42" s="27" t="n">
        <v>54160</v>
      </c>
      <c r="J42" s="28" t="n">
        <f aca="false">SUM(I42-H42)/10</f>
        <v>14.3</v>
      </c>
      <c r="K42" s="4" t="s">
        <v>63</v>
      </c>
      <c r="L42" s="29" t="e">
        <f aca="false">IF(AND(K42=0,J42=0),"",K42/J42)</f>
        <v>#VALUE!</v>
      </c>
      <c r="M42" s="30"/>
      <c r="N42" s="31"/>
      <c r="O42" s="30"/>
      <c r="P42" s="30"/>
      <c r="Q42" s="33"/>
      <c r="R42" s="30"/>
      <c r="S42" s="30"/>
      <c r="T42" s="30"/>
      <c r="U42" s="30"/>
      <c r="V42" s="30"/>
      <c r="W42" s="30"/>
    </row>
    <row r="43" customFormat="false" ht="69" hidden="false" customHeight="true" outlineLevel="0" collapsed="false">
      <c r="A43" s="23" t="s">
        <v>38</v>
      </c>
      <c r="B43" s="24" t="n">
        <v>46093</v>
      </c>
      <c r="C43" s="25" t="s">
        <v>64</v>
      </c>
      <c r="D43" s="26" t="n">
        <v>5000</v>
      </c>
      <c r="E43" s="26" t="n">
        <v>2000</v>
      </c>
      <c r="F43" s="22" t="n">
        <f aca="false">(D43-E43)*0.25</f>
        <v>750</v>
      </c>
      <c r="G43" s="22" t="n">
        <f aca="false">(D43-E43)-F43</f>
        <v>2250</v>
      </c>
      <c r="H43" s="27" t="n">
        <v>54160</v>
      </c>
      <c r="I43" s="27" t="n">
        <v>54435</v>
      </c>
      <c r="J43" s="28" t="n">
        <f aca="false">SUM(I43-H43)/10</f>
        <v>27.5</v>
      </c>
      <c r="K43" s="4" t="n">
        <v>25.94</v>
      </c>
      <c r="L43" s="29" t="n">
        <f aca="false">IF(AND(K43=0,J43=0),"",K43/J43)</f>
        <v>0.943272727272727</v>
      </c>
      <c r="M43" s="30"/>
      <c r="N43" s="31"/>
      <c r="O43" s="30"/>
      <c r="P43" s="30"/>
      <c r="Q43" s="33"/>
      <c r="R43" s="30"/>
      <c r="S43" s="30"/>
      <c r="T43" s="30"/>
      <c r="U43" s="30"/>
      <c r="V43" s="30"/>
      <c r="W43" s="30"/>
    </row>
    <row r="44" customFormat="false" ht="69" hidden="false" customHeight="true" outlineLevel="0" collapsed="false">
      <c r="A44" s="23" t="s">
        <v>39</v>
      </c>
      <c r="B44" s="24" t="n">
        <v>46094</v>
      </c>
      <c r="C44" s="25" t="s">
        <v>65</v>
      </c>
      <c r="D44" s="26"/>
      <c r="E44" s="26"/>
      <c r="F44" s="22" t="n">
        <f aca="false">(D44-E44)*0.25</f>
        <v>-0</v>
      </c>
      <c r="G44" s="22" t="n">
        <f aca="false">(D44-E44)-F44</f>
        <v>0</v>
      </c>
      <c r="H44" s="27"/>
      <c r="I44" s="27"/>
      <c r="J44" s="28" t="n">
        <f aca="false">SUM(I44-H44)/10</f>
        <v>0</v>
      </c>
      <c r="L44" s="29" t="str">
        <f aca="false">IF(AND(K44=0,J44=0),"",K44/J44)</f>
        <v/>
      </c>
      <c r="M44" s="30"/>
      <c r="N44" s="31"/>
      <c r="O44" s="30"/>
      <c r="P44" s="30"/>
      <c r="Q44" s="33"/>
      <c r="R44" s="30"/>
      <c r="S44" s="30"/>
      <c r="T44" s="30"/>
      <c r="U44" s="30"/>
      <c r="V44" s="30"/>
      <c r="W44" s="30"/>
    </row>
    <row r="45" customFormat="false" ht="69" hidden="false" customHeight="true" outlineLevel="0" collapsed="false">
      <c r="A45" s="23" t="s">
        <v>30</v>
      </c>
      <c r="B45" s="24" t="n">
        <v>46095</v>
      </c>
      <c r="C45" s="25" t="s">
        <v>66</v>
      </c>
      <c r="D45" s="26" t="n">
        <v>5000</v>
      </c>
      <c r="E45" s="26" t="n">
        <v>2300</v>
      </c>
      <c r="F45" s="22" t="n">
        <f aca="false">(D45-E45)*0.25</f>
        <v>675</v>
      </c>
      <c r="G45" s="22" t="n">
        <f aca="false">(D45-E45)-F45</f>
        <v>2025</v>
      </c>
      <c r="H45" s="27" t="n">
        <v>54477</v>
      </c>
      <c r="I45" s="27" t="n">
        <v>54773</v>
      </c>
      <c r="J45" s="28" t="n">
        <f aca="false">SUM(I45-H45)/10</f>
        <v>29.6</v>
      </c>
      <c r="K45" s="4" t="n">
        <v>27.92</v>
      </c>
      <c r="L45" s="29" t="n">
        <f aca="false">IF(AND(K45=0,J45=0),"",K45/J45)</f>
        <v>0.943243243243243</v>
      </c>
      <c r="M45" s="30"/>
      <c r="N45" s="31"/>
      <c r="O45" s="30"/>
      <c r="P45" s="30"/>
      <c r="Q45" s="33"/>
      <c r="R45" s="30"/>
      <c r="S45" s="30"/>
      <c r="T45" s="30"/>
      <c r="U45" s="30"/>
      <c r="V45" s="30"/>
      <c r="W45" s="30"/>
    </row>
    <row r="46" customFormat="false" ht="69" hidden="false" customHeight="true" outlineLevel="0" collapsed="false">
      <c r="A46" s="23" t="s">
        <v>31</v>
      </c>
      <c r="B46" s="24" t="n">
        <v>46096</v>
      </c>
      <c r="C46" s="25" t="s">
        <v>67</v>
      </c>
      <c r="D46" s="26" t="n">
        <v>800</v>
      </c>
      <c r="E46" s="26" t="n">
        <v>500</v>
      </c>
      <c r="F46" s="22" t="n">
        <f aca="false">(D46-E46)*0.25</f>
        <v>75</v>
      </c>
      <c r="G46" s="22" t="n">
        <f aca="false">(D46-E46)-F46</f>
        <v>225</v>
      </c>
      <c r="H46" s="27" t="n">
        <v>54773</v>
      </c>
      <c r="I46" s="27" t="n">
        <v>54836</v>
      </c>
      <c r="J46" s="28" t="n">
        <f aca="false">SUM(I46-H46)/10</f>
        <v>6.3</v>
      </c>
      <c r="K46" s="4" t="n">
        <v>6.06</v>
      </c>
      <c r="L46" s="29" t="n">
        <f aca="false">IF(AND(K46=0,J46=0),"",K46/J46)</f>
        <v>0.961904761904762</v>
      </c>
      <c r="M46" s="36" t="n">
        <f aca="false">SUM(G32:G46)</f>
        <v>12250.0125</v>
      </c>
      <c r="N46" s="37" t="n">
        <v>12475</v>
      </c>
      <c r="O46" s="30"/>
      <c r="P46" s="30"/>
      <c r="Q46" s="33"/>
      <c r="R46" s="30"/>
      <c r="S46" s="30"/>
      <c r="T46" s="30"/>
      <c r="U46" s="30"/>
      <c r="V46" s="30"/>
      <c r="W46" s="30"/>
    </row>
    <row r="47" customFormat="false" ht="69" hidden="false" customHeight="true" outlineLevel="0" collapsed="false">
      <c r="A47" s="23" t="s">
        <v>32</v>
      </c>
      <c r="B47" s="24" t="n">
        <v>46097</v>
      </c>
      <c r="C47" s="25" t="s">
        <v>26</v>
      </c>
      <c r="D47" s="26"/>
      <c r="E47" s="26"/>
      <c r="F47" s="22" t="n">
        <f aca="false">(D47-E47)*0.25</f>
        <v>-0</v>
      </c>
      <c r="G47" s="22" t="n">
        <f aca="false">(D47-E47)-F47</f>
        <v>0</v>
      </c>
      <c r="H47" s="27"/>
      <c r="I47" s="27"/>
      <c r="J47" s="28" t="n">
        <f aca="false">SUM(I47-H47)/10</f>
        <v>0</v>
      </c>
      <c r="L47" s="29" t="str">
        <f aca="false">IF(AND(K47=0,J47=0),"",K47/J47)</f>
        <v/>
      </c>
      <c r="N47" s="31"/>
      <c r="O47" s="30"/>
      <c r="P47" s="30"/>
      <c r="Q47" s="33"/>
      <c r="R47" s="30"/>
      <c r="S47" s="30"/>
      <c r="T47" s="30"/>
      <c r="U47" s="30"/>
      <c r="V47" s="30"/>
      <c r="W47" s="30"/>
    </row>
    <row r="48" customFormat="false" ht="69" hidden="false" customHeight="true" outlineLevel="0" collapsed="false">
      <c r="A48" s="23" t="s">
        <v>34</v>
      </c>
      <c r="B48" s="24" t="n">
        <v>46098</v>
      </c>
      <c r="C48" s="25" t="s">
        <v>26</v>
      </c>
      <c r="D48" s="26"/>
      <c r="E48" s="26"/>
      <c r="F48" s="22" t="n">
        <f aca="false">(D48-E48)*0.25</f>
        <v>-0</v>
      </c>
      <c r="G48" s="22" t="n">
        <f aca="false">(D48-E48)-F48</f>
        <v>0</v>
      </c>
      <c r="H48" s="27"/>
      <c r="I48" s="27"/>
      <c r="J48" s="28" t="n">
        <f aca="false">SUM(I48-H48)/10</f>
        <v>0</v>
      </c>
      <c r="L48" s="29" t="str">
        <f aca="false">IF(AND(K48=0,J48=0),"",K48/J48)</f>
        <v/>
      </c>
      <c r="M48" s="30"/>
      <c r="N48" s="31"/>
      <c r="O48" s="30"/>
      <c r="P48" s="30"/>
      <c r="Q48" s="33"/>
      <c r="R48" s="30"/>
      <c r="S48" s="30"/>
      <c r="T48" s="30"/>
      <c r="U48" s="30"/>
      <c r="V48" s="30"/>
      <c r="W48" s="30"/>
    </row>
    <row r="49" customFormat="false" ht="69" hidden="false" customHeight="true" outlineLevel="0" collapsed="false">
      <c r="A49" s="23" t="s">
        <v>36</v>
      </c>
      <c r="B49" s="24" t="n">
        <v>46099</v>
      </c>
      <c r="C49" s="25" t="s">
        <v>26</v>
      </c>
      <c r="D49" s="26"/>
      <c r="E49" s="26"/>
      <c r="F49" s="22" t="n">
        <f aca="false">(D49-E49)*0.25</f>
        <v>-0</v>
      </c>
      <c r="G49" s="22" t="n">
        <f aca="false">(D49-E49)-F49</f>
        <v>0</v>
      </c>
      <c r="H49" s="27"/>
      <c r="I49" s="27"/>
      <c r="J49" s="28" t="n">
        <f aca="false">SUM(I49-H49)/10</f>
        <v>0</v>
      </c>
      <c r="L49" s="29" t="str">
        <f aca="false">IF(AND(K49=0,J49=0),"",K49/J49)</f>
        <v/>
      </c>
      <c r="M49" s="30"/>
      <c r="N49" s="31"/>
      <c r="O49" s="30"/>
      <c r="P49" s="30"/>
      <c r="Q49" s="33"/>
      <c r="R49" s="30"/>
      <c r="S49" s="30"/>
      <c r="T49" s="30"/>
      <c r="U49" s="30"/>
      <c r="V49" s="30"/>
      <c r="W49" s="30"/>
    </row>
    <row r="50" customFormat="false" ht="69" hidden="false" customHeight="true" outlineLevel="0" collapsed="false">
      <c r="A50" s="23" t="s">
        <v>38</v>
      </c>
      <c r="B50" s="24" t="n">
        <v>46100</v>
      </c>
      <c r="C50" s="25" t="s">
        <v>26</v>
      </c>
      <c r="D50" s="26"/>
      <c r="E50" s="26"/>
      <c r="F50" s="22" t="n">
        <f aca="false">(D50-E50)*0.25</f>
        <v>-0</v>
      </c>
      <c r="G50" s="22" t="n">
        <f aca="false">(D50-E50)-F50</f>
        <v>0</v>
      </c>
      <c r="H50" s="27"/>
      <c r="I50" s="27"/>
      <c r="J50" s="28" t="n">
        <f aca="false">SUM(I50-H50)/10</f>
        <v>0</v>
      </c>
      <c r="L50" s="29" t="str">
        <f aca="false">IF(AND(K50=0,J50=0),"",K50/J50)</f>
        <v/>
      </c>
      <c r="M50" s="30"/>
      <c r="N50" s="31"/>
      <c r="O50" s="30"/>
      <c r="P50" s="30"/>
      <c r="Q50" s="33"/>
      <c r="R50" s="30"/>
      <c r="S50" s="30"/>
      <c r="T50" s="30"/>
      <c r="U50" s="30"/>
      <c r="V50" s="30"/>
      <c r="W50" s="30"/>
    </row>
    <row r="51" customFormat="false" ht="69" hidden="false" customHeight="true" outlineLevel="0" collapsed="false">
      <c r="A51" s="23" t="s">
        <v>39</v>
      </c>
      <c r="B51" s="24" t="n">
        <v>46101</v>
      </c>
      <c r="C51" s="25" t="s">
        <v>26</v>
      </c>
      <c r="D51" s="26"/>
      <c r="E51" s="26"/>
      <c r="F51" s="22" t="n">
        <f aca="false">(D51-E51)*0.25</f>
        <v>-0</v>
      </c>
      <c r="G51" s="22" t="n">
        <f aca="false">(D51-E51)-F51</f>
        <v>0</v>
      </c>
      <c r="H51" s="27"/>
      <c r="I51" s="27"/>
      <c r="J51" s="28" t="n">
        <f aca="false">SUM(I51-H51)/10</f>
        <v>0</v>
      </c>
      <c r="L51" s="29" t="str">
        <f aca="false">IF(AND(K51=0,J51=0),"",K51/J51)</f>
        <v/>
      </c>
      <c r="M51" s="30"/>
      <c r="N51" s="31"/>
      <c r="O51" s="30"/>
      <c r="P51" s="30"/>
      <c r="Q51" s="33"/>
      <c r="R51" s="30"/>
      <c r="S51" s="30"/>
      <c r="T51" s="30"/>
      <c r="U51" s="30"/>
      <c r="V51" s="30"/>
      <c r="W51" s="30"/>
    </row>
    <row r="52" customFormat="false" ht="69" hidden="false" customHeight="true" outlineLevel="0" collapsed="false">
      <c r="A52" s="23" t="s">
        <v>30</v>
      </c>
      <c r="B52" s="24" t="n">
        <v>46102</v>
      </c>
      <c r="C52" s="25" t="s">
        <v>26</v>
      </c>
      <c r="D52" s="26"/>
      <c r="E52" s="26"/>
      <c r="F52" s="22" t="n">
        <f aca="false">(D52-E52)*0.25</f>
        <v>-0</v>
      </c>
      <c r="G52" s="22" t="n">
        <f aca="false">(D52-E52)-F52</f>
        <v>0</v>
      </c>
      <c r="H52" s="27"/>
      <c r="I52" s="27"/>
      <c r="J52" s="28" t="n">
        <f aca="false">SUM(I52-H52)/10</f>
        <v>0</v>
      </c>
      <c r="L52" s="29" t="str">
        <f aca="false">IF(AND(K52=0,J52=0),"",K52/J52)</f>
        <v/>
      </c>
      <c r="M52" s="30"/>
      <c r="N52" s="31"/>
      <c r="O52" s="30"/>
      <c r="P52" s="30"/>
      <c r="Q52" s="33"/>
      <c r="R52" s="30"/>
      <c r="S52" s="30"/>
      <c r="T52" s="30"/>
      <c r="U52" s="30"/>
      <c r="V52" s="30"/>
      <c r="W52" s="30"/>
    </row>
    <row r="53" customFormat="false" ht="69" hidden="false" customHeight="true" outlineLevel="0" collapsed="false">
      <c r="A53" s="23"/>
      <c r="B53" s="24" t="n">
        <v>46103</v>
      </c>
      <c r="C53" s="25"/>
      <c r="D53" s="26"/>
      <c r="E53" s="26"/>
      <c r="F53" s="22" t="n">
        <f aca="false">(D53-E53)*0.25</f>
        <v>-0</v>
      </c>
      <c r="G53" s="22" t="n">
        <f aca="false">(D53-E53)-F53</f>
        <v>0</v>
      </c>
      <c r="H53" s="27"/>
      <c r="I53" s="27"/>
      <c r="J53" s="28" t="n">
        <f aca="false">SUM(I53-H53)/10</f>
        <v>0</v>
      </c>
      <c r="L53" s="29" t="str">
        <f aca="false">IF(AND(K53=0,J53=0),"",K53/J53)</f>
        <v/>
      </c>
      <c r="M53" s="30"/>
      <c r="N53" s="31"/>
      <c r="O53" s="30"/>
      <c r="P53" s="30"/>
      <c r="Q53" s="33"/>
      <c r="R53" s="30"/>
      <c r="S53" s="30"/>
      <c r="T53" s="30"/>
      <c r="U53" s="30"/>
      <c r="V53" s="30"/>
      <c r="W53" s="30"/>
    </row>
    <row r="54" customFormat="false" ht="69" hidden="false" customHeight="true" outlineLevel="0" collapsed="false">
      <c r="A54" s="23"/>
      <c r="B54" s="24" t="n">
        <v>46104</v>
      </c>
      <c r="C54" s="25"/>
      <c r="D54" s="26"/>
      <c r="E54" s="26"/>
      <c r="F54" s="22" t="n">
        <f aca="false">(D54-E54)*0.25</f>
        <v>-0</v>
      </c>
      <c r="G54" s="22" t="n">
        <f aca="false">(D54-E54)-F54</f>
        <v>0</v>
      </c>
      <c r="H54" s="27"/>
      <c r="I54" s="27"/>
      <c r="J54" s="28" t="n">
        <f aca="false">SUM(I54-H54)/10</f>
        <v>0</v>
      </c>
      <c r="L54" s="29" t="str">
        <f aca="false">IF(AND(K54=0,J54=0),"",K54/J54)</f>
        <v/>
      </c>
      <c r="M54" s="30"/>
      <c r="N54" s="31"/>
      <c r="O54" s="30"/>
      <c r="P54" s="30"/>
      <c r="Q54" s="33"/>
      <c r="R54" s="30"/>
      <c r="S54" s="30"/>
      <c r="T54" s="30"/>
      <c r="U54" s="30"/>
      <c r="V54" s="30"/>
      <c r="W54" s="30"/>
    </row>
    <row r="55" customFormat="false" ht="69" hidden="false" customHeight="true" outlineLevel="0" collapsed="false">
      <c r="A55" s="23"/>
      <c r="B55" s="24" t="n">
        <v>46105</v>
      </c>
      <c r="C55" s="25"/>
      <c r="D55" s="26"/>
      <c r="E55" s="26"/>
      <c r="F55" s="22" t="n">
        <f aca="false">(D55-E55)*0.25</f>
        <v>-0</v>
      </c>
      <c r="G55" s="22" t="n">
        <f aca="false">(D55-E55)-F55</f>
        <v>0</v>
      </c>
      <c r="H55" s="27"/>
      <c r="I55" s="27"/>
      <c r="J55" s="28" t="n">
        <f aca="false">SUM(I55-H55)/10</f>
        <v>0</v>
      </c>
      <c r="K55" s="39"/>
      <c r="L55" s="29" t="str">
        <f aca="false">IF(AND(K55=0,J55=0),"",K55/J55)</f>
        <v/>
      </c>
      <c r="M55" s="30"/>
      <c r="N55" s="31"/>
      <c r="O55" s="30"/>
      <c r="P55" s="30"/>
      <c r="Q55" s="33"/>
      <c r="R55" s="30"/>
      <c r="S55" s="30"/>
      <c r="T55" s="30"/>
      <c r="U55" s="30"/>
      <c r="V55" s="30"/>
      <c r="W55" s="30"/>
    </row>
    <row r="56" customFormat="false" ht="69" hidden="false" customHeight="true" outlineLevel="0" collapsed="false">
      <c r="A56" s="23"/>
      <c r="B56" s="24" t="n">
        <v>46106</v>
      </c>
      <c r="C56" s="25"/>
      <c r="D56" s="26"/>
      <c r="E56" s="26"/>
      <c r="F56" s="22" t="n">
        <f aca="false">(D56-E56)*0.25</f>
        <v>-0</v>
      </c>
      <c r="G56" s="22" t="n">
        <f aca="false">(D56-E56)-F56</f>
        <v>0</v>
      </c>
      <c r="H56" s="27"/>
      <c r="I56" s="27"/>
      <c r="J56" s="28" t="n">
        <f aca="false">SUM(I56-H56)/10</f>
        <v>0</v>
      </c>
      <c r="K56" s="39"/>
      <c r="L56" s="29" t="str">
        <f aca="false">IF(AND(K56=0,J56=0),"",K56/J56)</f>
        <v/>
      </c>
      <c r="M56" s="30"/>
      <c r="N56" s="31"/>
      <c r="O56" s="30"/>
      <c r="P56" s="30"/>
      <c r="Q56" s="33"/>
      <c r="R56" s="30"/>
      <c r="S56" s="30"/>
      <c r="T56" s="30"/>
      <c r="U56" s="30"/>
      <c r="V56" s="30"/>
      <c r="W56" s="30"/>
    </row>
    <row r="57" customFormat="false" ht="69" hidden="false" customHeight="true" outlineLevel="0" collapsed="false">
      <c r="A57" s="23"/>
      <c r="B57" s="24" t="n">
        <v>46107</v>
      </c>
      <c r="C57" s="25"/>
      <c r="D57" s="26"/>
      <c r="E57" s="26"/>
      <c r="F57" s="22" t="n">
        <f aca="false">(D57-E57)*0.25</f>
        <v>-0</v>
      </c>
      <c r="G57" s="22" t="n">
        <f aca="false">(D57-E57)-F57</f>
        <v>0</v>
      </c>
      <c r="H57" s="27"/>
      <c r="I57" s="27"/>
      <c r="J57" s="28" t="n">
        <f aca="false">SUM(I57-H57)/10</f>
        <v>0</v>
      </c>
      <c r="K57" s="39"/>
      <c r="L57" s="29" t="str">
        <f aca="false">IF(AND(K57=0,J57=0),"",K57/J57)</f>
        <v/>
      </c>
      <c r="M57" s="30"/>
      <c r="N57" s="31"/>
      <c r="O57" s="30"/>
      <c r="P57" s="30"/>
      <c r="Q57" s="33"/>
      <c r="R57" s="30"/>
      <c r="S57" s="30"/>
      <c r="T57" s="30"/>
      <c r="U57" s="30"/>
      <c r="V57" s="30"/>
      <c r="W57" s="30"/>
    </row>
    <row r="58" customFormat="false" ht="69" hidden="false" customHeight="true" outlineLevel="0" collapsed="false">
      <c r="A58" s="23"/>
      <c r="B58" s="24" t="n">
        <v>46108</v>
      </c>
      <c r="C58" s="25"/>
      <c r="D58" s="26"/>
      <c r="E58" s="26"/>
      <c r="F58" s="22" t="n">
        <f aca="false">(D58-E58)*0.25</f>
        <v>-0</v>
      </c>
      <c r="G58" s="22" t="n">
        <f aca="false">(D58-E58)-F58</f>
        <v>0</v>
      </c>
      <c r="H58" s="27"/>
      <c r="I58" s="27"/>
      <c r="J58" s="28" t="n">
        <f aca="false">SUM(I58-H58)/10</f>
        <v>0</v>
      </c>
      <c r="K58" s="39"/>
      <c r="L58" s="29" t="str">
        <f aca="false">IF(AND(K58=0,J58=0),"",K58/J58)</f>
        <v/>
      </c>
      <c r="M58" s="30"/>
      <c r="N58" s="31"/>
      <c r="O58" s="30"/>
      <c r="P58" s="30"/>
      <c r="Q58" s="33"/>
      <c r="R58" s="30"/>
      <c r="S58" s="30"/>
      <c r="T58" s="30"/>
      <c r="U58" s="30"/>
      <c r="V58" s="30"/>
      <c r="W58" s="30"/>
    </row>
    <row r="59" customFormat="false" ht="69" hidden="false" customHeight="true" outlineLevel="0" collapsed="false">
      <c r="A59" s="23"/>
      <c r="B59" s="24" t="n">
        <v>46109</v>
      </c>
      <c r="C59" s="25"/>
      <c r="D59" s="26"/>
      <c r="E59" s="26"/>
      <c r="F59" s="22" t="n">
        <f aca="false">(D59-E59)*0.25</f>
        <v>-0</v>
      </c>
      <c r="G59" s="22" t="n">
        <f aca="false">(D59-E59)-F59</f>
        <v>0</v>
      </c>
      <c r="H59" s="27"/>
      <c r="I59" s="27"/>
      <c r="J59" s="28" t="n">
        <f aca="false">SUM(I59-H59)/10</f>
        <v>0</v>
      </c>
      <c r="K59" s="39"/>
      <c r="L59" s="29" t="str">
        <f aca="false">IF(AND(K59=0,J59=0),"",K59/J59)</f>
        <v/>
      </c>
      <c r="M59" s="30"/>
      <c r="N59" s="31"/>
      <c r="O59" s="30"/>
      <c r="P59" s="30"/>
      <c r="Q59" s="33"/>
      <c r="R59" s="30"/>
      <c r="S59" s="30"/>
      <c r="T59" s="30"/>
      <c r="U59" s="30"/>
      <c r="V59" s="30"/>
      <c r="W59" s="30"/>
    </row>
    <row r="60" customFormat="false" ht="69" hidden="false" customHeight="true" outlineLevel="0" collapsed="false">
      <c r="A60" s="23"/>
      <c r="B60" s="24" t="n">
        <v>46110</v>
      </c>
      <c r="C60" s="25"/>
      <c r="D60" s="26"/>
      <c r="E60" s="26"/>
      <c r="F60" s="22" t="n">
        <f aca="false">(D60-E60)*0.25</f>
        <v>-0</v>
      </c>
      <c r="G60" s="22" t="n">
        <f aca="false">(D60-E60)-F60</f>
        <v>0</v>
      </c>
      <c r="H60" s="27"/>
      <c r="I60" s="27"/>
      <c r="J60" s="28" t="n">
        <f aca="false">SUM(I60-H60)/10</f>
        <v>0</v>
      </c>
      <c r="K60" s="39"/>
      <c r="L60" s="29" t="str">
        <f aca="false">IF(AND(K60=0,J60=0),"",K60/J60)</f>
        <v/>
      </c>
      <c r="M60" s="30"/>
      <c r="N60" s="31"/>
      <c r="O60" s="30"/>
      <c r="P60" s="30"/>
      <c r="Q60" s="33"/>
      <c r="R60" s="30"/>
      <c r="S60" s="30"/>
      <c r="T60" s="30"/>
      <c r="U60" s="30"/>
      <c r="V60" s="30"/>
      <c r="W60" s="30"/>
    </row>
    <row r="61" customFormat="false" ht="69" hidden="false" customHeight="true" outlineLevel="0" collapsed="false">
      <c r="A61" s="23"/>
      <c r="B61" s="24" t="n">
        <v>46111</v>
      </c>
      <c r="C61" s="25"/>
      <c r="D61" s="26"/>
      <c r="E61" s="26"/>
      <c r="F61" s="22" t="n">
        <f aca="false">(D61-E61)*0.25</f>
        <v>-0</v>
      </c>
      <c r="G61" s="22" t="n">
        <f aca="false">(D61-E61)-F61</f>
        <v>0</v>
      </c>
      <c r="H61" s="27"/>
      <c r="I61" s="27"/>
      <c r="J61" s="28" t="n">
        <f aca="false">SUM(I61-H61)/10</f>
        <v>0</v>
      </c>
      <c r="K61" s="39"/>
      <c r="L61" s="29" t="str">
        <f aca="false">IF(AND(K61=0,J61=0),"",K61/J61)</f>
        <v/>
      </c>
      <c r="M61" s="30"/>
      <c r="N61" s="31"/>
      <c r="O61" s="30"/>
      <c r="P61" s="30"/>
      <c r="Q61" s="33"/>
      <c r="R61" s="30"/>
      <c r="S61" s="30"/>
      <c r="T61" s="30"/>
      <c r="U61" s="30"/>
      <c r="V61" s="30"/>
      <c r="W61" s="30"/>
    </row>
    <row r="62" customFormat="false" ht="69" hidden="false" customHeight="true" outlineLevel="0" collapsed="false">
      <c r="A62" s="23"/>
      <c r="B62" s="24" t="n">
        <v>46112</v>
      </c>
      <c r="C62" s="25"/>
      <c r="D62" s="26"/>
      <c r="E62" s="26"/>
      <c r="F62" s="22" t="n">
        <f aca="false">(D62-E62)*0.25</f>
        <v>-0</v>
      </c>
      <c r="G62" s="22" t="n">
        <f aca="false">(D62-E62)-F62</f>
        <v>0</v>
      </c>
      <c r="H62" s="27"/>
      <c r="I62" s="27"/>
      <c r="J62" s="28" t="n">
        <f aca="false">SUM(I62-H62)/10</f>
        <v>0</v>
      </c>
      <c r="K62" s="39"/>
      <c r="L62" s="29" t="str">
        <f aca="false">IF(AND(K62=0,J62=0),"",K62/J62)</f>
        <v/>
      </c>
      <c r="M62" s="30"/>
      <c r="N62" s="31"/>
      <c r="O62" s="30"/>
      <c r="P62" s="30"/>
      <c r="Q62" s="33"/>
      <c r="R62" s="30"/>
      <c r="S62" s="30"/>
      <c r="T62" s="30"/>
      <c r="U62" s="30"/>
      <c r="V62" s="30"/>
      <c r="W62" s="30"/>
    </row>
    <row r="63" customFormat="false" ht="69" hidden="false" customHeight="true" outlineLevel="0" collapsed="false">
      <c r="A63" s="23"/>
      <c r="B63" s="24" t="n">
        <v>46113</v>
      </c>
      <c r="C63" s="25"/>
      <c r="D63" s="26"/>
      <c r="E63" s="26"/>
      <c r="F63" s="22" t="n">
        <f aca="false">(D63-E63)*0.25</f>
        <v>-0</v>
      </c>
      <c r="G63" s="22" t="n">
        <f aca="false">(D63-E63)-F63</f>
        <v>0</v>
      </c>
      <c r="H63" s="27"/>
      <c r="I63" s="27"/>
      <c r="J63" s="28" t="n">
        <f aca="false">SUM(I63-H63)/10</f>
        <v>0</v>
      </c>
      <c r="K63" s="39"/>
      <c r="L63" s="29" t="str">
        <f aca="false">IF(AND(K63=0,J63=0),"",K63/J63)</f>
        <v/>
      </c>
      <c r="M63" s="30"/>
      <c r="N63" s="31"/>
      <c r="O63" s="30"/>
      <c r="P63" s="30"/>
      <c r="Q63" s="33"/>
      <c r="R63" s="30"/>
      <c r="S63" s="30"/>
      <c r="T63" s="30"/>
      <c r="U63" s="30"/>
      <c r="V63" s="30"/>
      <c r="W63" s="30"/>
    </row>
    <row r="64" customFormat="false" ht="69" hidden="false" customHeight="true" outlineLevel="0" collapsed="false">
      <c r="A64" s="23"/>
      <c r="B64" s="24" t="n">
        <v>46114</v>
      </c>
      <c r="C64" s="25"/>
      <c r="D64" s="26"/>
      <c r="E64" s="26"/>
      <c r="F64" s="22" t="n">
        <f aca="false">(D64-E64)*0.25</f>
        <v>-0</v>
      </c>
      <c r="G64" s="22" t="n">
        <f aca="false">(D64-E64)-F64</f>
        <v>0</v>
      </c>
      <c r="H64" s="27"/>
      <c r="I64" s="27"/>
      <c r="J64" s="28" t="n">
        <f aca="false">SUM(I64-H64)/10</f>
        <v>0</v>
      </c>
      <c r="K64" s="39"/>
      <c r="L64" s="29" t="str">
        <f aca="false">IF(AND(K64=0,J64=0),"",K64/J64)</f>
        <v/>
      </c>
      <c r="M64" s="30"/>
      <c r="N64" s="31"/>
      <c r="O64" s="30"/>
      <c r="P64" s="30"/>
      <c r="Q64" s="33"/>
      <c r="R64" s="30"/>
      <c r="S64" s="30"/>
      <c r="T64" s="30"/>
      <c r="U64" s="30"/>
      <c r="V64" s="30"/>
      <c r="W64" s="30"/>
    </row>
    <row r="65" customFormat="false" ht="69" hidden="false" customHeight="true" outlineLevel="0" collapsed="false">
      <c r="A65" s="23"/>
      <c r="B65" s="24" t="n">
        <v>46115</v>
      </c>
      <c r="C65" s="25"/>
      <c r="D65" s="26"/>
      <c r="E65" s="26"/>
      <c r="F65" s="22" t="n">
        <f aca="false">(D65-E65)*0.25</f>
        <v>-0</v>
      </c>
      <c r="G65" s="22" t="n">
        <f aca="false">(D65-E65)-F65</f>
        <v>0</v>
      </c>
      <c r="H65" s="27"/>
      <c r="I65" s="27"/>
      <c r="J65" s="28" t="n">
        <f aca="false">SUM(I65-H65)/10</f>
        <v>0</v>
      </c>
      <c r="K65" s="39"/>
      <c r="L65" s="29" t="str">
        <f aca="false">IF(AND(K65=0,J65=0),"",K65/J65)</f>
        <v/>
      </c>
      <c r="M65" s="30"/>
      <c r="N65" s="31"/>
      <c r="O65" s="30"/>
      <c r="P65" s="30"/>
      <c r="Q65" s="33"/>
      <c r="R65" s="30"/>
      <c r="S65" s="30"/>
      <c r="T65" s="30"/>
      <c r="U65" s="30"/>
      <c r="V65" s="30"/>
      <c r="W65" s="30"/>
    </row>
    <row r="66" customFormat="false" ht="69" hidden="false" customHeight="true" outlineLevel="0" collapsed="false">
      <c r="A66" s="23"/>
      <c r="B66" s="24" t="n">
        <v>46116</v>
      </c>
      <c r="C66" s="25"/>
      <c r="D66" s="26"/>
      <c r="E66" s="26"/>
      <c r="F66" s="22" t="n">
        <f aca="false">(D66-E66)*0.25</f>
        <v>-0</v>
      </c>
      <c r="G66" s="22" t="n">
        <f aca="false">(D66-E66)-F66</f>
        <v>0</v>
      </c>
      <c r="H66" s="27"/>
      <c r="I66" s="27"/>
      <c r="J66" s="28" t="n">
        <f aca="false">SUM(I66-H66)/10</f>
        <v>0</v>
      </c>
      <c r="K66" s="39"/>
      <c r="L66" s="29" t="str">
        <f aca="false">IF(AND(K66=0,J66=0),"",K66/J66)</f>
        <v/>
      </c>
      <c r="M66" s="30"/>
      <c r="N66" s="31"/>
      <c r="O66" s="30"/>
      <c r="P66" s="30"/>
      <c r="Q66" s="33"/>
      <c r="R66" s="30"/>
      <c r="S66" s="30"/>
      <c r="T66" s="30"/>
      <c r="U66" s="30"/>
      <c r="V66" s="30"/>
      <c r="W66" s="30"/>
    </row>
    <row r="67" customFormat="false" ht="69" hidden="false" customHeight="true" outlineLevel="0" collapsed="false">
      <c r="A67" s="23"/>
      <c r="B67" s="24" t="n">
        <v>46117</v>
      </c>
      <c r="C67" s="25"/>
      <c r="D67" s="26"/>
      <c r="E67" s="26"/>
      <c r="F67" s="22" t="n">
        <f aca="false">(D67-E67)*0.25</f>
        <v>-0</v>
      </c>
      <c r="G67" s="22" t="n">
        <f aca="false">(D67-E67)-F67</f>
        <v>0</v>
      </c>
      <c r="H67" s="27"/>
      <c r="I67" s="27"/>
      <c r="J67" s="28" t="n">
        <f aca="false">SUM(I67-H67)/10</f>
        <v>0</v>
      </c>
      <c r="K67" s="39"/>
      <c r="L67" s="29" t="str">
        <f aca="false">IF(AND(K67=0,J67=0),"",K67/J67)</f>
        <v/>
      </c>
      <c r="M67" s="30"/>
      <c r="N67" s="31"/>
      <c r="O67" s="30"/>
      <c r="P67" s="30"/>
      <c r="Q67" s="33"/>
      <c r="R67" s="30"/>
      <c r="S67" s="30"/>
      <c r="T67" s="30"/>
      <c r="U67" s="30"/>
      <c r="V67" s="30"/>
      <c r="W67" s="30"/>
    </row>
    <row r="68" customFormat="false" ht="69" hidden="false" customHeight="true" outlineLevel="0" collapsed="false">
      <c r="A68" s="23"/>
      <c r="B68" s="24" t="n">
        <v>46118</v>
      </c>
      <c r="C68" s="25"/>
      <c r="D68" s="26"/>
      <c r="E68" s="26"/>
      <c r="F68" s="22" t="n">
        <f aca="false">(D68-E68)*0.25</f>
        <v>-0</v>
      </c>
      <c r="G68" s="22" t="n">
        <f aca="false">(D68-E68)-F68</f>
        <v>0</v>
      </c>
      <c r="H68" s="27"/>
      <c r="I68" s="27"/>
      <c r="J68" s="28" t="n">
        <f aca="false">SUM(I68-H68)/10</f>
        <v>0</v>
      </c>
      <c r="K68" s="39"/>
      <c r="L68" s="29" t="str">
        <f aca="false">IF(AND(K68=0,J68=0),"",K68/J68)</f>
        <v/>
      </c>
      <c r="M68" s="30"/>
      <c r="N68" s="31"/>
      <c r="O68" s="30"/>
      <c r="P68" s="30"/>
      <c r="Q68" s="33"/>
      <c r="R68" s="30"/>
      <c r="S68" s="30"/>
      <c r="T68" s="30"/>
      <c r="U68" s="30"/>
      <c r="V68" s="30"/>
      <c r="W68" s="30"/>
    </row>
    <row r="69" customFormat="false" ht="69" hidden="false" customHeight="true" outlineLevel="0" collapsed="false">
      <c r="A69" s="23"/>
      <c r="B69" s="24" t="n">
        <v>46119</v>
      </c>
      <c r="C69" s="25"/>
      <c r="D69" s="26"/>
      <c r="E69" s="26"/>
      <c r="F69" s="22" t="n">
        <f aca="false">(D69-E69)*0.25</f>
        <v>-0</v>
      </c>
      <c r="G69" s="22" t="n">
        <f aca="false">(D69-E69)-F69</f>
        <v>0</v>
      </c>
      <c r="H69" s="27"/>
      <c r="I69" s="27"/>
      <c r="J69" s="28" t="n">
        <f aca="false">SUM(I69-H69)/10</f>
        <v>0</v>
      </c>
      <c r="K69" s="39"/>
      <c r="L69" s="29" t="str">
        <f aca="false">IF(AND(K69=0,J69=0),"",K69/J69)</f>
        <v/>
      </c>
      <c r="M69" s="30"/>
      <c r="N69" s="31"/>
      <c r="O69" s="30"/>
      <c r="P69" s="30"/>
      <c r="Q69" s="33"/>
      <c r="R69" s="30"/>
      <c r="S69" s="30"/>
      <c r="T69" s="30"/>
      <c r="U69" s="30"/>
      <c r="V69" s="30"/>
      <c r="W69" s="30"/>
    </row>
    <row r="70" customFormat="false" ht="69" hidden="false" customHeight="true" outlineLevel="0" collapsed="false">
      <c r="A70" s="23"/>
      <c r="B70" s="24" t="n">
        <v>46120</v>
      </c>
      <c r="C70" s="25"/>
      <c r="D70" s="26"/>
      <c r="E70" s="26"/>
      <c r="F70" s="22" t="n">
        <f aca="false">(D70-E70)*0.25</f>
        <v>-0</v>
      </c>
      <c r="G70" s="22" t="n">
        <f aca="false">(D70-E70)-F70</f>
        <v>0</v>
      </c>
      <c r="H70" s="27"/>
      <c r="I70" s="27"/>
      <c r="J70" s="28" t="n">
        <f aca="false">SUM(I70-H70)/10</f>
        <v>0</v>
      </c>
      <c r="K70" s="39"/>
      <c r="L70" s="29" t="str">
        <f aca="false">IF(AND(K70=0,J70=0),"",K70/J70)</f>
        <v/>
      </c>
      <c r="M70" s="30"/>
      <c r="N70" s="31"/>
      <c r="O70" s="30"/>
      <c r="P70" s="30"/>
      <c r="Q70" s="33"/>
      <c r="R70" s="30"/>
      <c r="S70" s="30"/>
      <c r="T70" s="30"/>
      <c r="U70" s="30"/>
      <c r="V70" s="30"/>
      <c r="W70" s="30"/>
    </row>
    <row r="71" customFormat="false" ht="69" hidden="false" customHeight="true" outlineLevel="0" collapsed="false">
      <c r="A71" s="23"/>
      <c r="B71" s="24" t="n">
        <v>46121</v>
      </c>
      <c r="C71" s="25"/>
      <c r="D71" s="26"/>
      <c r="E71" s="26"/>
      <c r="F71" s="22" t="n">
        <f aca="false">(D71-E71)*0.25</f>
        <v>-0</v>
      </c>
      <c r="G71" s="22" t="n">
        <f aca="false">(D71-E71)-F71</f>
        <v>0</v>
      </c>
      <c r="H71" s="27"/>
      <c r="I71" s="27"/>
      <c r="J71" s="28" t="n">
        <f aca="false">SUM(I71-H71)/10</f>
        <v>0</v>
      </c>
      <c r="K71" s="39"/>
      <c r="L71" s="29" t="str">
        <f aca="false">IF(AND(K71=0,J71=0),"",K71/J71)</f>
        <v/>
      </c>
      <c r="M71" s="30"/>
      <c r="N71" s="31"/>
      <c r="O71" s="30"/>
      <c r="P71" s="30"/>
      <c r="Q71" s="33"/>
      <c r="R71" s="30"/>
      <c r="S71" s="30"/>
      <c r="T71" s="30"/>
      <c r="U71" s="30"/>
      <c r="V71" s="30"/>
      <c r="W71" s="30"/>
    </row>
    <row r="72" customFormat="false" ht="69" hidden="false" customHeight="true" outlineLevel="0" collapsed="false">
      <c r="A72" s="23"/>
      <c r="B72" s="24" t="n">
        <v>46122</v>
      </c>
      <c r="C72" s="25"/>
      <c r="D72" s="26"/>
      <c r="E72" s="26"/>
      <c r="F72" s="22" t="n">
        <f aca="false">(D72-E72)*0.25</f>
        <v>-0</v>
      </c>
      <c r="G72" s="22" t="n">
        <f aca="false">(D72-E72)-F72</f>
        <v>0</v>
      </c>
      <c r="H72" s="27"/>
      <c r="I72" s="27"/>
      <c r="J72" s="28" t="n">
        <f aca="false">SUM(I72-H72)/10</f>
        <v>0</v>
      </c>
      <c r="K72" s="39"/>
      <c r="L72" s="29" t="str">
        <f aca="false">IF(AND(K72=0,J72=0),"",K72/J72)</f>
        <v/>
      </c>
      <c r="M72" s="30"/>
      <c r="N72" s="31"/>
      <c r="O72" s="30"/>
      <c r="P72" s="30"/>
      <c r="Q72" s="33"/>
      <c r="R72" s="30"/>
      <c r="S72" s="30"/>
      <c r="T72" s="30"/>
      <c r="U72" s="30"/>
      <c r="V72" s="30"/>
      <c r="W72" s="30"/>
    </row>
    <row r="73" customFormat="false" ht="69" hidden="false" customHeight="true" outlineLevel="0" collapsed="false">
      <c r="A73" s="23"/>
      <c r="B73" s="24" t="n">
        <v>46123</v>
      </c>
      <c r="C73" s="25"/>
      <c r="D73" s="26"/>
      <c r="E73" s="26"/>
      <c r="F73" s="22" t="n">
        <f aca="false">(D73-E73)*0.25</f>
        <v>-0</v>
      </c>
      <c r="G73" s="22" t="n">
        <f aca="false">(D73-E73)-F73</f>
        <v>0</v>
      </c>
      <c r="H73" s="27"/>
      <c r="I73" s="27"/>
      <c r="J73" s="28" t="n">
        <f aca="false">SUM(I73-H73)/10</f>
        <v>0</v>
      </c>
      <c r="K73" s="39"/>
      <c r="L73" s="29" t="str">
        <f aca="false">IF(AND(K73=0,J73=0),"",K73/J73)</f>
        <v/>
      </c>
      <c r="M73" s="30"/>
      <c r="N73" s="31"/>
      <c r="O73" s="30"/>
      <c r="P73" s="30"/>
      <c r="Q73" s="33"/>
      <c r="R73" s="30"/>
      <c r="S73" s="30"/>
      <c r="T73" s="30"/>
      <c r="U73" s="30"/>
      <c r="V73" s="30"/>
      <c r="W73" s="30"/>
    </row>
    <row r="74" customFormat="false" ht="69" hidden="false" customHeight="true" outlineLevel="0" collapsed="false">
      <c r="A74" s="23"/>
      <c r="B74" s="24" t="n">
        <v>46124</v>
      </c>
      <c r="C74" s="25"/>
      <c r="D74" s="26"/>
      <c r="E74" s="26"/>
      <c r="F74" s="22" t="n">
        <f aca="false">(D74-E74)*0.25</f>
        <v>-0</v>
      </c>
      <c r="G74" s="22" t="n">
        <f aca="false">(D74-E74)-F74</f>
        <v>0</v>
      </c>
      <c r="H74" s="27"/>
      <c r="I74" s="27"/>
      <c r="J74" s="28" t="n">
        <f aca="false">SUM(I74-H74)/10</f>
        <v>0</v>
      </c>
      <c r="K74" s="39"/>
      <c r="L74" s="29" t="str">
        <f aca="false">IF(AND(K74=0,J74=0),"",K74/J74)</f>
        <v/>
      </c>
      <c r="M74" s="30"/>
      <c r="N74" s="31"/>
      <c r="O74" s="30"/>
      <c r="P74" s="30"/>
      <c r="Q74" s="33"/>
      <c r="R74" s="30"/>
      <c r="S74" s="30"/>
      <c r="T74" s="30"/>
      <c r="U74" s="30"/>
      <c r="V74" s="30"/>
      <c r="W74" s="30"/>
    </row>
    <row r="75" customFormat="false" ht="69" hidden="false" customHeight="true" outlineLevel="0" collapsed="false">
      <c r="A75" s="23"/>
      <c r="B75" s="24" t="n">
        <v>46125</v>
      </c>
      <c r="C75" s="25"/>
      <c r="D75" s="26"/>
      <c r="E75" s="26"/>
      <c r="F75" s="22" t="n">
        <f aca="false">(D75-E75)*0.25</f>
        <v>-0</v>
      </c>
      <c r="G75" s="22" t="n">
        <f aca="false">(D75-E75)-F75</f>
        <v>0</v>
      </c>
      <c r="H75" s="27"/>
      <c r="I75" s="27"/>
      <c r="J75" s="28" t="n">
        <f aca="false">SUM(I75-H75)/10</f>
        <v>0</v>
      </c>
      <c r="K75" s="39"/>
      <c r="L75" s="29" t="str">
        <f aca="false">IF(AND(K75=0,J75=0),"",K75/J75)</f>
        <v/>
      </c>
      <c r="M75" s="30"/>
      <c r="N75" s="31"/>
      <c r="O75" s="30"/>
      <c r="P75" s="30"/>
      <c r="Q75" s="33"/>
      <c r="R75" s="30"/>
      <c r="S75" s="30"/>
      <c r="T75" s="30"/>
      <c r="U75" s="30"/>
      <c r="V75" s="30"/>
      <c r="W75" s="30"/>
    </row>
    <row r="76" customFormat="false" ht="69" hidden="false" customHeight="true" outlineLevel="0" collapsed="false">
      <c r="A76" s="23"/>
      <c r="B76" s="24" t="n">
        <v>46126</v>
      </c>
      <c r="C76" s="25"/>
      <c r="D76" s="26"/>
      <c r="E76" s="26"/>
      <c r="F76" s="22" t="n">
        <f aca="false">(D76-E76)*0.25</f>
        <v>-0</v>
      </c>
      <c r="G76" s="22" t="n">
        <f aca="false">(D76-E76)-F76</f>
        <v>0</v>
      </c>
      <c r="H76" s="27"/>
      <c r="I76" s="27"/>
      <c r="J76" s="28" t="n">
        <f aca="false">SUM(I76-H76)/10</f>
        <v>0</v>
      </c>
      <c r="K76" s="39"/>
      <c r="L76" s="29" t="str">
        <f aca="false">IF(AND(K76=0,J76=0),"",K76/J76)</f>
        <v/>
      </c>
      <c r="M76" s="30"/>
      <c r="N76" s="31"/>
      <c r="O76" s="30"/>
      <c r="P76" s="30"/>
      <c r="Q76" s="33"/>
      <c r="R76" s="30"/>
      <c r="S76" s="30"/>
      <c r="T76" s="30"/>
      <c r="U76" s="30"/>
      <c r="V76" s="30"/>
      <c r="W76" s="30"/>
    </row>
    <row r="77" customFormat="false" ht="69" hidden="false" customHeight="true" outlineLevel="0" collapsed="false">
      <c r="A77" s="23"/>
      <c r="B77" s="24" t="n">
        <v>46127</v>
      </c>
      <c r="C77" s="25"/>
      <c r="D77" s="26"/>
      <c r="E77" s="26"/>
      <c r="F77" s="22" t="n">
        <f aca="false">(D77-E77)*0.25</f>
        <v>-0</v>
      </c>
      <c r="G77" s="22" t="n">
        <f aca="false">(D77-E77)-F77</f>
        <v>0</v>
      </c>
      <c r="H77" s="27"/>
      <c r="I77" s="27"/>
      <c r="J77" s="28" t="n">
        <f aca="false">SUM(I77-H77)/10</f>
        <v>0</v>
      </c>
      <c r="K77" s="39"/>
      <c r="L77" s="29" t="str">
        <f aca="false">IF(AND(K77=0,J77=0),"",K77/J77)</f>
        <v/>
      </c>
      <c r="M77" s="30"/>
      <c r="N77" s="31"/>
      <c r="O77" s="30"/>
      <c r="P77" s="30"/>
      <c r="Q77" s="33"/>
      <c r="R77" s="30"/>
      <c r="S77" s="30"/>
      <c r="T77" s="30"/>
      <c r="U77" s="30"/>
      <c r="V77" s="30"/>
      <c r="W77" s="30"/>
    </row>
    <row r="78" customFormat="false" ht="69" hidden="false" customHeight="true" outlineLevel="0" collapsed="false">
      <c r="A78" s="23"/>
      <c r="B78" s="24" t="n">
        <v>46128</v>
      </c>
      <c r="C78" s="25"/>
      <c r="D78" s="26"/>
      <c r="E78" s="26"/>
      <c r="F78" s="22" t="n">
        <f aca="false">(D78-E78)*0.25</f>
        <v>-0</v>
      </c>
      <c r="G78" s="22" t="n">
        <f aca="false">(D78-E78)-F78</f>
        <v>0</v>
      </c>
      <c r="H78" s="27"/>
      <c r="I78" s="27"/>
      <c r="J78" s="28" t="n">
        <f aca="false">SUM(I78-H78)/10</f>
        <v>0</v>
      </c>
      <c r="K78" s="39"/>
      <c r="L78" s="29" t="str">
        <f aca="false">IF(AND(K78=0,J78=0),"",K78/J78)</f>
        <v/>
      </c>
      <c r="M78" s="30"/>
      <c r="N78" s="31"/>
      <c r="O78" s="30"/>
      <c r="P78" s="30"/>
      <c r="Q78" s="33"/>
      <c r="R78" s="30"/>
      <c r="S78" s="30"/>
      <c r="T78" s="30"/>
      <c r="U78" s="30"/>
      <c r="V78" s="30"/>
      <c r="W78" s="30"/>
    </row>
    <row r="79" customFormat="false" ht="69" hidden="false" customHeight="true" outlineLevel="0" collapsed="false">
      <c r="A79" s="23"/>
      <c r="B79" s="24" t="n">
        <v>46129</v>
      </c>
      <c r="C79" s="25"/>
      <c r="D79" s="26"/>
      <c r="E79" s="26"/>
      <c r="F79" s="22" t="n">
        <f aca="false">(D79-E79)*0.25</f>
        <v>-0</v>
      </c>
      <c r="G79" s="22" t="n">
        <f aca="false">(D79-E79)-F79</f>
        <v>0</v>
      </c>
      <c r="H79" s="27"/>
      <c r="I79" s="27"/>
      <c r="J79" s="28" t="n">
        <f aca="false">SUM(I79-H79)/10</f>
        <v>0</v>
      </c>
      <c r="K79" s="39"/>
      <c r="L79" s="29" t="str">
        <f aca="false">IF(AND(K79=0,J79=0),"",K79/J79)</f>
        <v/>
      </c>
      <c r="M79" s="30"/>
      <c r="N79" s="31"/>
      <c r="O79" s="30"/>
      <c r="P79" s="30"/>
      <c r="Q79" s="33"/>
      <c r="R79" s="30"/>
      <c r="S79" s="30"/>
      <c r="T79" s="30"/>
      <c r="U79" s="30"/>
      <c r="V79" s="30"/>
      <c r="W79" s="30"/>
    </row>
    <row r="80" customFormat="false" ht="69" hidden="false" customHeight="true" outlineLevel="0" collapsed="false">
      <c r="A80" s="23"/>
      <c r="B80" s="24" t="n">
        <v>46130</v>
      </c>
      <c r="C80" s="25"/>
      <c r="D80" s="26"/>
      <c r="E80" s="26"/>
      <c r="F80" s="22" t="n">
        <f aca="false">(D80-E80)*0.25</f>
        <v>-0</v>
      </c>
      <c r="G80" s="22" t="n">
        <f aca="false">(D80-E80)-F80</f>
        <v>0</v>
      </c>
      <c r="H80" s="27"/>
      <c r="I80" s="27"/>
      <c r="J80" s="28" t="n">
        <f aca="false">SUM(I80-H80)/10</f>
        <v>0</v>
      </c>
      <c r="K80" s="39"/>
      <c r="L80" s="29" t="str">
        <f aca="false">IF(AND(K80=0,J80=0),"",K80/J80)</f>
        <v/>
      </c>
      <c r="M80" s="30"/>
      <c r="N80" s="31"/>
      <c r="O80" s="30"/>
      <c r="P80" s="30"/>
      <c r="Q80" s="33"/>
      <c r="R80" s="30"/>
      <c r="S80" s="30"/>
      <c r="T80" s="30"/>
      <c r="U80" s="30"/>
      <c r="V80" s="30"/>
      <c r="W80" s="30"/>
    </row>
    <row r="81" customFormat="false" ht="69" hidden="false" customHeight="true" outlineLevel="0" collapsed="false">
      <c r="A81" s="23"/>
      <c r="B81" s="24" t="n">
        <v>46131</v>
      </c>
      <c r="C81" s="25"/>
      <c r="D81" s="26"/>
      <c r="E81" s="26"/>
      <c r="F81" s="22" t="n">
        <f aca="false">(D81-E81)*0.25</f>
        <v>-0</v>
      </c>
      <c r="G81" s="22" t="n">
        <f aca="false">(D81-E81)-F81</f>
        <v>0</v>
      </c>
      <c r="H81" s="27"/>
      <c r="I81" s="27"/>
      <c r="J81" s="28" t="n">
        <f aca="false">SUM(I81-H81)/10</f>
        <v>0</v>
      </c>
      <c r="K81" s="39"/>
      <c r="L81" s="29" t="str">
        <f aca="false">IF(AND(K81=0,J81=0),"",K81/J81)</f>
        <v/>
      </c>
      <c r="M81" s="30"/>
      <c r="N81" s="31"/>
      <c r="O81" s="30"/>
      <c r="P81" s="30"/>
      <c r="Q81" s="33"/>
      <c r="R81" s="30"/>
      <c r="S81" s="30"/>
      <c r="T81" s="30"/>
      <c r="U81" s="30"/>
      <c r="V81" s="30"/>
      <c r="W81" s="30"/>
    </row>
    <row r="82" customFormat="false" ht="69" hidden="false" customHeight="true" outlineLevel="0" collapsed="false">
      <c r="A82" s="23"/>
      <c r="B82" s="24" t="n">
        <v>46132</v>
      </c>
      <c r="C82" s="25"/>
      <c r="D82" s="26"/>
      <c r="E82" s="26"/>
      <c r="F82" s="22" t="n">
        <f aca="false">(D82-E82)*0.25</f>
        <v>-0</v>
      </c>
      <c r="G82" s="22" t="n">
        <f aca="false">(D82-E82)-F82</f>
        <v>0</v>
      </c>
      <c r="H82" s="27"/>
      <c r="I82" s="27"/>
      <c r="J82" s="28" t="n">
        <f aca="false">SUM(I82-H82)/10</f>
        <v>0</v>
      </c>
      <c r="K82" s="39"/>
      <c r="L82" s="29" t="str">
        <f aca="false">IF(AND(K82=0,J82=0),"",K82/J82)</f>
        <v/>
      </c>
      <c r="M82" s="30"/>
      <c r="N82" s="31"/>
      <c r="O82" s="30"/>
      <c r="P82" s="30"/>
      <c r="Q82" s="33"/>
      <c r="R82" s="30"/>
      <c r="S82" s="30"/>
      <c r="T82" s="30"/>
      <c r="U82" s="30"/>
      <c r="V82" s="30"/>
      <c r="W82" s="30"/>
    </row>
    <row r="83" customFormat="false" ht="69" hidden="false" customHeight="true" outlineLevel="0" collapsed="false">
      <c r="A83" s="23"/>
      <c r="B83" s="24" t="n">
        <v>46133</v>
      </c>
      <c r="C83" s="25"/>
      <c r="D83" s="26"/>
      <c r="E83" s="26"/>
      <c r="F83" s="22" t="n">
        <f aca="false">(D83-E83)*0.25</f>
        <v>-0</v>
      </c>
      <c r="G83" s="22" t="n">
        <f aca="false">(D83-E83)-F83</f>
        <v>0</v>
      </c>
      <c r="H83" s="27"/>
      <c r="I83" s="27"/>
      <c r="J83" s="28" t="n">
        <f aca="false">SUM(I83-H83)/10</f>
        <v>0</v>
      </c>
      <c r="K83" s="39"/>
      <c r="L83" s="29" t="str">
        <f aca="false">IF(AND(K83=0,J83=0),"",K83/J83)</f>
        <v/>
      </c>
      <c r="M83" s="30"/>
      <c r="N83" s="31"/>
      <c r="O83" s="30"/>
      <c r="P83" s="30"/>
      <c r="Q83" s="33"/>
      <c r="R83" s="30"/>
      <c r="S83" s="30"/>
      <c r="T83" s="30"/>
      <c r="U83" s="30"/>
      <c r="V83" s="30"/>
      <c r="W83" s="30"/>
    </row>
    <row r="84" customFormat="false" ht="69" hidden="false" customHeight="true" outlineLevel="0" collapsed="false">
      <c r="A84" s="23"/>
      <c r="B84" s="24" t="n">
        <v>46134</v>
      </c>
      <c r="C84" s="25"/>
      <c r="D84" s="26"/>
      <c r="E84" s="26"/>
      <c r="F84" s="22" t="n">
        <f aca="false">(D84-E84)*0.25</f>
        <v>-0</v>
      </c>
      <c r="G84" s="22" t="n">
        <f aca="false">(D84-E84)-F84</f>
        <v>0</v>
      </c>
      <c r="H84" s="27"/>
      <c r="I84" s="27"/>
      <c r="J84" s="28" t="n">
        <f aca="false">SUM(I84-H84)/10</f>
        <v>0</v>
      </c>
      <c r="K84" s="39"/>
      <c r="L84" s="29" t="str">
        <f aca="false">IF(AND(K84=0,J84=0),"",K84/J84)</f>
        <v/>
      </c>
      <c r="M84" s="30"/>
      <c r="N84" s="31"/>
      <c r="O84" s="30"/>
      <c r="P84" s="30"/>
      <c r="Q84" s="33"/>
      <c r="R84" s="30"/>
      <c r="S84" s="30"/>
      <c r="T84" s="30"/>
      <c r="U84" s="30"/>
      <c r="V84" s="30"/>
      <c r="W84" s="30"/>
    </row>
    <row r="85" customFormat="false" ht="69" hidden="false" customHeight="true" outlineLevel="0" collapsed="false">
      <c r="A85" s="23"/>
      <c r="B85" s="24" t="n">
        <v>46135</v>
      </c>
      <c r="C85" s="25"/>
      <c r="D85" s="26"/>
      <c r="E85" s="26"/>
      <c r="F85" s="22" t="n">
        <f aca="false">(D85-E85)*0.25</f>
        <v>-0</v>
      </c>
      <c r="G85" s="22" t="n">
        <f aca="false">(D85-E85)-F85</f>
        <v>0</v>
      </c>
      <c r="H85" s="27"/>
      <c r="I85" s="27"/>
      <c r="J85" s="28" t="n">
        <f aca="false">SUM(I85-H85)/10</f>
        <v>0</v>
      </c>
      <c r="K85" s="39"/>
      <c r="L85" s="29" t="str">
        <f aca="false">IF(AND(K85=0,J85=0),"",K85/J85)</f>
        <v/>
      </c>
      <c r="M85" s="30"/>
      <c r="N85" s="31"/>
      <c r="O85" s="30"/>
      <c r="P85" s="30"/>
      <c r="Q85" s="33"/>
      <c r="R85" s="30"/>
      <c r="S85" s="30"/>
      <c r="T85" s="30"/>
      <c r="U85" s="30"/>
      <c r="V85" s="30"/>
      <c r="W85" s="30"/>
    </row>
    <row r="86" customFormat="false" ht="69" hidden="false" customHeight="true" outlineLevel="0" collapsed="false">
      <c r="A86" s="23"/>
      <c r="B86" s="24" t="n">
        <v>46136</v>
      </c>
      <c r="C86" s="25"/>
      <c r="D86" s="26"/>
      <c r="E86" s="26"/>
      <c r="F86" s="22" t="n">
        <f aca="false">(D86-E86)*0.25</f>
        <v>-0</v>
      </c>
      <c r="G86" s="22" t="n">
        <f aca="false">(D86-E86)-F86</f>
        <v>0</v>
      </c>
      <c r="H86" s="27"/>
      <c r="I86" s="27"/>
      <c r="J86" s="28" t="n">
        <f aca="false">SUM(I86-H86)/10</f>
        <v>0</v>
      </c>
      <c r="K86" s="39"/>
      <c r="L86" s="29" t="str">
        <f aca="false">IF(AND(K86=0,J86=0),"",K86/J86)</f>
        <v/>
      </c>
      <c r="M86" s="30"/>
      <c r="N86" s="31"/>
      <c r="O86" s="30"/>
      <c r="P86" s="30"/>
      <c r="Q86" s="33"/>
      <c r="R86" s="30"/>
      <c r="S86" s="30"/>
      <c r="T86" s="30"/>
      <c r="U86" s="30"/>
      <c r="V86" s="30"/>
      <c r="W86" s="30"/>
    </row>
    <row r="87" customFormat="false" ht="69" hidden="false" customHeight="true" outlineLevel="0" collapsed="false">
      <c r="A87" s="23"/>
      <c r="B87" s="24" t="n">
        <v>46137</v>
      </c>
      <c r="C87" s="25"/>
      <c r="D87" s="26"/>
      <c r="E87" s="26"/>
      <c r="F87" s="22" t="n">
        <f aca="false">(D87-E87)*0.25</f>
        <v>-0</v>
      </c>
      <c r="G87" s="22" t="n">
        <f aca="false">(D87-E87)-F87</f>
        <v>0</v>
      </c>
      <c r="H87" s="27"/>
      <c r="I87" s="27"/>
      <c r="J87" s="28" t="n">
        <f aca="false">SUM(I87-H87)/10</f>
        <v>0</v>
      </c>
      <c r="K87" s="39"/>
      <c r="L87" s="29" t="str">
        <f aca="false">IF(AND(K87=0,J87=0),"",K87/J87)</f>
        <v/>
      </c>
      <c r="M87" s="30"/>
      <c r="N87" s="31"/>
      <c r="O87" s="30"/>
      <c r="P87" s="30"/>
      <c r="Q87" s="33"/>
      <c r="R87" s="30"/>
      <c r="S87" s="30"/>
      <c r="T87" s="30"/>
      <c r="U87" s="30"/>
      <c r="V87" s="30"/>
      <c r="W87" s="30"/>
    </row>
    <row r="88" customFormat="false" ht="69" hidden="false" customHeight="true" outlineLevel="0" collapsed="false">
      <c r="A88" s="23"/>
      <c r="B88" s="24" t="n">
        <v>46138</v>
      </c>
      <c r="C88" s="25"/>
      <c r="D88" s="26"/>
      <c r="E88" s="26"/>
      <c r="F88" s="22" t="n">
        <f aca="false">(D88-E88)*0.25</f>
        <v>-0</v>
      </c>
      <c r="G88" s="22" t="n">
        <f aca="false">(D88-E88)-F88</f>
        <v>0</v>
      </c>
      <c r="H88" s="27"/>
      <c r="I88" s="27"/>
      <c r="J88" s="28" t="n">
        <f aca="false">SUM(I88-H88)/10</f>
        <v>0</v>
      </c>
      <c r="K88" s="39"/>
      <c r="L88" s="29" t="str">
        <f aca="false">IF(AND(K88=0,J88=0),"",K88/J88)</f>
        <v/>
      </c>
      <c r="M88" s="30"/>
      <c r="N88" s="31"/>
      <c r="O88" s="30"/>
      <c r="P88" s="30"/>
      <c r="Q88" s="33"/>
      <c r="R88" s="30"/>
      <c r="S88" s="30"/>
      <c r="T88" s="30"/>
      <c r="U88" s="30"/>
      <c r="V88" s="30"/>
      <c r="W88" s="30"/>
    </row>
    <row r="89" customFormat="false" ht="69" hidden="false" customHeight="true" outlineLevel="0" collapsed="false">
      <c r="A89" s="23"/>
      <c r="B89" s="24" t="n">
        <v>46139</v>
      </c>
      <c r="C89" s="25"/>
      <c r="D89" s="26"/>
      <c r="E89" s="26"/>
      <c r="F89" s="22" t="n">
        <f aca="false">(D89-E89)*0.25</f>
        <v>-0</v>
      </c>
      <c r="G89" s="22" t="n">
        <f aca="false">(D89-E89)-F89</f>
        <v>0</v>
      </c>
      <c r="H89" s="27"/>
      <c r="I89" s="27"/>
      <c r="J89" s="28" t="n">
        <f aca="false">SUM(I89-H89)/10</f>
        <v>0</v>
      </c>
      <c r="K89" s="39"/>
      <c r="L89" s="29" t="str">
        <f aca="false">IF(AND(K89=0,J89=0),"",K89/J89)</f>
        <v/>
      </c>
      <c r="M89" s="30"/>
      <c r="N89" s="31"/>
      <c r="O89" s="30"/>
      <c r="P89" s="30"/>
      <c r="Q89" s="33"/>
      <c r="R89" s="30"/>
      <c r="S89" s="30"/>
      <c r="T89" s="30"/>
      <c r="U89" s="30"/>
      <c r="V89" s="30"/>
      <c r="W89" s="30"/>
    </row>
    <row r="90" customFormat="false" ht="69" hidden="false" customHeight="true" outlineLevel="0" collapsed="false">
      <c r="A90" s="23"/>
      <c r="B90" s="24" t="n">
        <v>46140</v>
      </c>
      <c r="C90" s="25"/>
      <c r="D90" s="26"/>
      <c r="E90" s="26"/>
      <c r="F90" s="22" t="n">
        <f aca="false">(D90-E90)*0.25</f>
        <v>-0</v>
      </c>
      <c r="G90" s="22" t="n">
        <f aca="false">(D90-E90)-F90</f>
        <v>0</v>
      </c>
      <c r="H90" s="27"/>
      <c r="I90" s="27"/>
      <c r="J90" s="28" t="n">
        <f aca="false">SUM(I90-H90)/10</f>
        <v>0</v>
      </c>
      <c r="K90" s="39"/>
      <c r="L90" s="29" t="str">
        <f aca="false">IF(AND(K90=0,J90=0),"",K90/J90)</f>
        <v/>
      </c>
      <c r="M90" s="30"/>
      <c r="N90" s="31"/>
      <c r="O90" s="30"/>
      <c r="P90" s="30"/>
      <c r="Q90" s="33"/>
      <c r="R90" s="30"/>
      <c r="S90" s="30"/>
      <c r="T90" s="30"/>
      <c r="U90" s="30"/>
      <c r="V90" s="30"/>
      <c r="W90" s="30"/>
    </row>
    <row r="91" customFormat="false" ht="69" hidden="false" customHeight="true" outlineLevel="0" collapsed="false">
      <c r="A91" s="23"/>
      <c r="B91" s="24" t="n">
        <v>46141</v>
      </c>
      <c r="C91" s="25"/>
      <c r="D91" s="26"/>
      <c r="E91" s="26"/>
      <c r="F91" s="22" t="n">
        <f aca="false">(D91-E91)*0.25</f>
        <v>-0</v>
      </c>
      <c r="G91" s="22" t="n">
        <f aca="false">(D91-E91)-F91</f>
        <v>0</v>
      </c>
      <c r="H91" s="27"/>
      <c r="I91" s="27"/>
      <c r="J91" s="28" t="n">
        <f aca="false">SUM(I91-H91)/10</f>
        <v>0</v>
      </c>
      <c r="K91" s="39"/>
      <c r="L91" s="29" t="str">
        <f aca="false">IF(AND(K91=0,J91=0),"",K91/J91)</f>
        <v/>
      </c>
      <c r="M91" s="30"/>
      <c r="N91" s="31"/>
      <c r="O91" s="30"/>
      <c r="P91" s="30"/>
      <c r="Q91" s="33"/>
      <c r="R91" s="30"/>
      <c r="S91" s="30"/>
      <c r="T91" s="30"/>
      <c r="U91" s="30"/>
      <c r="V91" s="30"/>
      <c r="W91" s="30"/>
    </row>
    <row r="92" customFormat="false" ht="69" hidden="false" customHeight="true" outlineLevel="0" collapsed="false">
      <c r="A92" s="23"/>
      <c r="B92" s="24" t="n">
        <v>46142</v>
      </c>
      <c r="C92" s="25"/>
      <c r="D92" s="26"/>
      <c r="E92" s="26"/>
      <c r="F92" s="22" t="n">
        <f aca="false">(D92-E92)*0.25</f>
        <v>-0</v>
      </c>
      <c r="G92" s="22" t="n">
        <f aca="false">(D92-E92)-F92</f>
        <v>0</v>
      </c>
      <c r="H92" s="27"/>
      <c r="I92" s="27"/>
      <c r="J92" s="28" t="n">
        <f aca="false">SUM(I92-H92)/10</f>
        <v>0</v>
      </c>
      <c r="K92" s="39"/>
      <c r="L92" s="29" t="str">
        <f aca="false">IF(AND(K92=0,J92=0),"",K92/J92)</f>
        <v/>
      </c>
      <c r="M92" s="30"/>
      <c r="N92" s="31"/>
      <c r="O92" s="30"/>
      <c r="P92" s="30"/>
      <c r="Q92" s="33"/>
      <c r="R92" s="30"/>
      <c r="S92" s="30"/>
      <c r="T92" s="30"/>
      <c r="U92" s="30"/>
      <c r="V92" s="30"/>
      <c r="W92" s="30"/>
    </row>
    <row r="93" customFormat="false" ht="69" hidden="false" customHeight="true" outlineLevel="0" collapsed="false">
      <c r="A93" s="23"/>
      <c r="B93" s="24" t="n">
        <v>46143</v>
      </c>
      <c r="C93" s="25"/>
      <c r="D93" s="26"/>
      <c r="E93" s="26"/>
      <c r="F93" s="22" t="n">
        <f aca="false">(D93-E93)*0.25</f>
        <v>-0</v>
      </c>
      <c r="G93" s="22" t="n">
        <f aca="false">(D93-E93)-F93</f>
        <v>0</v>
      </c>
      <c r="H93" s="27"/>
      <c r="I93" s="27"/>
      <c r="J93" s="28" t="n">
        <f aca="false">SUM(I93-H93)/10</f>
        <v>0</v>
      </c>
      <c r="K93" s="39"/>
      <c r="L93" s="29" t="str">
        <f aca="false">IF(AND(K93=0,J93=0),"",K93/J93)</f>
        <v/>
      </c>
      <c r="M93" s="30"/>
      <c r="N93" s="31"/>
      <c r="O93" s="30"/>
      <c r="P93" s="30"/>
      <c r="Q93" s="33"/>
      <c r="R93" s="30"/>
      <c r="S93" s="30"/>
      <c r="T93" s="30"/>
      <c r="U93" s="30"/>
      <c r="V93" s="30"/>
      <c r="W93" s="30"/>
    </row>
    <row r="94" customFormat="false" ht="69" hidden="false" customHeight="true" outlineLevel="0" collapsed="false">
      <c r="A94" s="23"/>
      <c r="B94" s="24" t="n">
        <v>46144</v>
      </c>
      <c r="C94" s="25"/>
      <c r="D94" s="26"/>
      <c r="E94" s="26"/>
      <c r="F94" s="22" t="n">
        <f aca="false">(D94-E94)*0.25</f>
        <v>-0</v>
      </c>
      <c r="G94" s="22" t="n">
        <f aca="false">(D94-E94)-F94</f>
        <v>0</v>
      </c>
      <c r="H94" s="27"/>
      <c r="I94" s="27"/>
      <c r="J94" s="28" t="n">
        <f aca="false">SUM(I94-H94)/10</f>
        <v>0</v>
      </c>
      <c r="K94" s="39"/>
      <c r="L94" s="29" t="str">
        <f aca="false">IF(AND(K94=0,J94=0),"",K94/J94)</f>
        <v/>
      </c>
      <c r="M94" s="30"/>
      <c r="N94" s="31"/>
      <c r="O94" s="30"/>
      <c r="P94" s="30"/>
      <c r="Q94" s="33"/>
      <c r="R94" s="30"/>
      <c r="S94" s="30"/>
      <c r="T94" s="30"/>
      <c r="U94" s="30"/>
      <c r="V94" s="30"/>
      <c r="W94" s="30"/>
    </row>
    <row r="95" customFormat="false" ht="69" hidden="false" customHeight="true" outlineLevel="0" collapsed="false">
      <c r="A95" s="23"/>
      <c r="B95" s="24" t="n">
        <v>46145</v>
      </c>
      <c r="C95" s="25"/>
      <c r="D95" s="26"/>
      <c r="E95" s="26"/>
      <c r="F95" s="22" t="n">
        <f aca="false">(D95-E95)*0.25</f>
        <v>-0</v>
      </c>
      <c r="G95" s="22" t="n">
        <f aca="false">(D95-E95)-F95</f>
        <v>0</v>
      </c>
      <c r="H95" s="27"/>
      <c r="I95" s="27"/>
      <c r="J95" s="28" t="n">
        <f aca="false">SUM(I95-H95)/10</f>
        <v>0</v>
      </c>
      <c r="K95" s="39"/>
      <c r="L95" s="29" t="str">
        <f aca="false">IF(AND(K95=0,J95=0),"",K95/J95)</f>
        <v/>
      </c>
      <c r="M95" s="30"/>
      <c r="N95" s="31"/>
      <c r="O95" s="30"/>
      <c r="P95" s="30"/>
      <c r="Q95" s="33"/>
      <c r="R95" s="30"/>
      <c r="S95" s="30"/>
      <c r="T95" s="30"/>
      <c r="U95" s="30"/>
      <c r="V95" s="30"/>
      <c r="W95" s="30"/>
    </row>
    <row r="96" customFormat="false" ht="69" hidden="false" customHeight="true" outlineLevel="0" collapsed="false">
      <c r="A96" s="23"/>
      <c r="B96" s="24" t="n">
        <v>46146</v>
      </c>
      <c r="C96" s="25"/>
      <c r="D96" s="26"/>
      <c r="E96" s="26"/>
      <c r="F96" s="22" t="n">
        <f aca="false">(D96-E96)*0.25</f>
        <v>-0</v>
      </c>
      <c r="G96" s="22" t="n">
        <f aca="false">(D96-E96)-F96</f>
        <v>0</v>
      </c>
      <c r="H96" s="27"/>
      <c r="I96" s="27"/>
      <c r="J96" s="28" t="n">
        <f aca="false">SUM(I96-H96)/10</f>
        <v>0</v>
      </c>
      <c r="K96" s="39"/>
      <c r="L96" s="29" t="str">
        <f aca="false">IF(AND(K96=0,J96=0),"",K96/J96)</f>
        <v/>
      </c>
      <c r="M96" s="30"/>
      <c r="N96" s="31"/>
      <c r="O96" s="30"/>
      <c r="P96" s="30"/>
      <c r="Q96" s="33"/>
      <c r="R96" s="30"/>
      <c r="S96" s="30"/>
      <c r="T96" s="30"/>
      <c r="U96" s="30"/>
      <c r="V96" s="30"/>
      <c r="W96" s="30"/>
    </row>
    <row r="97" customFormat="false" ht="69" hidden="false" customHeight="true" outlineLevel="0" collapsed="false">
      <c r="A97" s="23"/>
      <c r="B97" s="24" t="n">
        <v>46147</v>
      </c>
      <c r="C97" s="25"/>
      <c r="D97" s="26"/>
      <c r="E97" s="26"/>
      <c r="F97" s="22" t="n">
        <f aca="false">(D97-E97)*0.25</f>
        <v>-0</v>
      </c>
      <c r="G97" s="22" t="n">
        <f aca="false">(D97-E97)-F97</f>
        <v>0</v>
      </c>
      <c r="H97" s="27"/>
      <c r="I97" s="27"/>
      <c r="J97" s="28" t="n">
        <f aca="false">SUM(I97-H97)/10</f>
        <v>0</v>
      </c>
      <c r="K97" s="39"/>
      <c r="L97" s="29" t="str">
        <f aca="false">IF(AND(K97=0,J97=0),"",K97/J97)</f>
        <v/>
      </c>
      <c r="M97" s="30"/>
      <c r="N97" s="31"/>
      <c r="O97" s="30"/>
      <c r="P97" s="30"/>
      <c r="Q97" s="33"/>
      <c r="R97" s="30"/>
      <c r="S97" s="30"/>
      <c r="T97" s="30"/>
      <c r="U97" s="30"/>
      <c r="V97" s="30"/>
      <c r="W97" s="30"/>
    </row>
    <row r="98" customFormat="false" ht="69" hidden="false" customHeight="true" outlineLevel="0" collapsed="false">
      <c r="A98" s="23"/>
      <c r="B98" s="24" t="n">
        <v>46148</v>
      </c>
      <c r="C98" s="25"/>
      <c r="D98" s="26"/>
      <c r="E98" s="26"/>
      <c r="F98" s="22" t="n">
        <f aca="false">(D98-E98)*0.25</f>
        <v>-0</v>
      </c>
      <c r="G98" s="22" t="n">
        <f aca="false">(D98-E98)-F98</f>
        <v>0</v>
      </c>
      <c r="H98" s="27"/>
      <c r="I98" s="27"/>
      <c r="J98" s="28" t="n">
        <f aca="false">SUM(I98-H98)/10</f>
        <v>0</v>
      </c>
      <c r="K98" s="39"/>
      <c r="L98" s="29" t="str">
        <f aca="false">IF(AND(K98=0,J98=0),"",K98/J98)</f>
        <v/>
      </c>
      <c r="M98" s="30"/>
      <c r="N98" s="31"/>
      <c r="O98" s="30"/>
      <c r="P98" s="30"/>
      <c r="Q98" s="33"/>
      <c r="R98" s="30"/>
      <c r="S98" s="30"/>
      <c r="T98" s="30"/>
      <c r="U98" s="30"/>
      <c r="V98" s="30"/>
      <c r="W98" s="30"/>
    </row>
    <row r="99" customFormat="false" ht="69" hidden="false" customHeight="true" outlineLevel="0" collapsed="false">
      <c r="A99" s="23"/>
      <c r="B99" s="24" t="n">
        <v>46149</v>
      </c>
      <c r="C99" s="25"/>
      <c r="D99" s="26"/>
      <c r="E99" s="26"/>
      <c r="F99" s="22" t="n">
        <f aca="false">(D99-E99)*0.25</f>
        <v>-0</v>
      </c>
      <c r="G99" s="22" t="n">
        <f aca="false">(D99-E99)-F99</f>
        <v>0</v>
      </c>
      <c r="H99" s="27"/>
      <c r="I99" s="27"/>
      <c r="J99" s="28" t="n">
        <f aca="false">SUM(I99-H99)/10</f>
        <v>0</v>
      </c>
      <c r="K99" s="39"/>
      <c r="L99" s="29" t="str">
        <f aca="false">IF(AND(K99=0,J99=0),"",K99/J99)</f>
        <v/>
      </c>
      <c r="M99" s="30"/>
      <c r="N99" s="31"/>
      <c r="O99" s="30"/>
      <c r="P99" s="30"/>
      <c r="Q99" s="33"/>
      <c r="R99" s="30"/>
      <c r="S99" s="30"/>
      <c r="T99" s="30"/>
      <c r="U99" s="30"/>
      <c r="V99" s="30"/>
      <c r="W99" s="30"/>
    </row>
    <row r="100" customFormat="false" ht="69" hidden="false" customHeight="true" outlineLevel="0" collapsed="false">
      <c r="A100" s="23"/>
      <c r="B100" s="24" t="n">
        <v>46150</v>
      </c>
      <c r="C100" s="25"/>
      <c r="D100" s="26"/>
      <c r="E100" s="26"/>
      <c r="F100" s="22" t="n">
        <f aca="false">(D100-E100)*0.25</f>
        <v>-0</v>
      </c>
      <c r="G100" s="22" t="n">
        <f aca="false">(D100-E100)-F100</f>
        <v>0</v>
      </c>
      <c r="H100" s="27"/>
      <c r="I100" s="27"/>
      <c r="J100" s="28" t="n">
        <f aca="false">SUM(I100-H100)/10</f>
        <v>0</v>
      </c>
      <c r="K100" s="39"/>
      <c r="L100" s="29" t="str">
        <f aca="false">IF(AND(K100=0,J100=0),"",K100/J100)</f>
        <v/>
      </c>
      <c r="M100" s="30"/>
      <c r="N100" s="31"/>
      <c r="O100" s="30"/>
      <c r="P100" s="30"/>
      <c r="Q100" s="33"/>
      <c r="R100" s="30"/>
      <c r="S100" s="30"/>
      <c r="T100" s="30"/>
      <c r="U100" s="30"/>
      <c r="V100" s="30"/>
      <c r="W100" s="30"/>
    </row>
    <row r="101" customFormat="false" ht="69" hidden="false" customHeight="true" outlineLevel="0" collapsed="false">
      <c r="A101" s="23"/>
      <c r="B101" s="24" t="n">
        <v>46151</v>
      </c>
      <c r="C101" s="25"/>
      <c r="D101" s="26"/>
      <c r="E101" s="26"/>
      <c r="F101" s="22" t="n">
        <f aca="false">(D101-E101)*0.25</f>
        <v>-0</v>
      </c>
      <c r="G101" s="22" t="n">
        <f aca="false">(D101-E101)-F101</f>
        <v>0</v>
      </c>
      <c r="H101" s="27"/>
      <c r="I101" s="27"/>
      <c r="J101" s="28" t="n">
        <f aca="false">SUM(I101-H101)/10</f>
        <v>0</v>
      </c>
      <c r="K101" s="39"/>
      <c r="L101" s="29" t="str">
        <f aca="false">IF(AND(K101=0,J101=0),"",K101/J101)</f>
        <v/>
      </c>
      <c r="M101" s="30"/>
      <c r="N101" s="31"/>
      <c r="O101" s="30"/>
      <c r="P101" s="30"/>
      <c r="Q101" s="33"/>
      <c r="R101" s="30"/>
      <c r="S101" s="30"/>
      <c r="T101" s="30"/>
      <c r="U101" s="30"/>
      <c r="V101" s="30"/>
      <c r="W101" s="30"/>
    </row>
    <row r="102" customFormat="false" ht="69" hidden="false" customHeight="true" outlineLevel="0" collapsed="false">
      <c r="A102" s="23"/>
      <c r="B102" s="24" t="n">
        <v>46152</v>
      </c>
      <c r="C102" s="25"/>
      <c r="D102" s="26"/>
      <c r="E102" s="26"/>
      <c r="F102" s="22" t="n">
        <f aca="false">(D102-E102)*0.25</f>
        <v>-0</v>
      </c>
      <c r="G102" s="22" t="n">
        <f aca="false">(D102-E102)-F102</f>
        <v>0</v>
      </c>
      <c r="H102" s="27"/>
      <c r="I102" s="27"/>
      <c r="J102" s="28" t="n">
        <f aca="false">SUM(I102-H102)/10</f>
        <v>0</v>
      </c>
      <c r="K102" s="39"/>
      <c r="L102" s="29" t="str">
        <f aca="false">IF(AND(K102=0,J102=0),"",K102/J102)</f>
        <v/>
      </c>
      <c r="M102" s="30"/>
      <c r="N102" s="31"/>
      <c r="O102" s="30"/>
      <c r="P102" s="30"/>
      <c r="Q102" s="33"/>
      <c r="R102" s="30"/>
      <c r="S102" s="30"/>
      <c r="T102" s="30"/>
      <c r="U102" s="30"/>
      <c r="V102" s="30"/>
      <c r="W102" s="30"/>
    </row>
    <row r="103" customFormat="false" ht="69" hidden="false" customHeight="true" outlineLevel="0" collapsed="false">
      <c r="A103" s="23"/>
      <c r="B103" s="24" t="n">
        <v>46153</v>
      </c>
      <c r="C103" s="25"/>
      <c r="D103" s="26"/>
      <c r="E103" s="26"/>
      <c r="F103" s="22" t="n">
        <f aca="false">(D103-E103)*0.25</f>
        <v>-0</v>
      </c>
      <c r="G103" s="22" t="n">
        <f aca="false">(D103-E103)-F103</f>
        <v>0</v>
      </c>
      <c r="H103" s="27"/>
      <c r="I103" s="27"/>
      <c r="J103" s="28" t="n">
        <f aca="false">SUM(I103-H103)/10</f>
        <v>0</v>
      </c>
      <c r="K103" s="39"/>
      <c r="L103" s="29" t="str">
        <f aca="false">IF(AND(K103=0,J103=0),"",K103/J103)</f>
        <v/>
      </c>
      <c r="M103" s="30"/>
      <c r="N103" s="31"/>
      <c r="O103" s="30"/>
      <c r="P103" s="30"/>
      <c r="Q103" s="33"/>
      <c r="R103" s="30"/>
      <c r="S103" s="30"/>
      <c r="T103" s="30"/>
      <c r="U103" s="30"/>
      <c r="V103" s="30"/>
      <c r="W103" s="30"/>
    </row>
    <row r="104" customFormat="false" ht="69" hidden="false" customHeight="true" outlineLevel="0" collapsed="false">
      <c r="A104" s="23"/>
      <c r="B104" s="24" t="n">
        <v>46154</v>
      </c>
      <c r="C104" s="25"/>
      <c r="D104" s="26"/>
      <c r="E104" s="26"/>
      <c r="F104" s="22" t="n">
        <f aca="false">(D104-E104)*0.25</f>
        <v>-0</v>
      </c>
      <c r="G104" s="22" t="n">
        <f aca="false">(D104-E104)-F104</f>
        <v>0</v>
      </c>
      <c r="H104" s="27"/>
      <c r="I104" s="27"/>
      <c r="J104" s="28" t="n">
        <f aca="false">SUM(I104-H104)/10</f>
        <v>0</v>
      </c>
      <c r="K104" s="39"/>
      <c r="L104" s="29" t="str">
        <f aca="false">IF(AND(K104=0,J104=0),"",K104/J104)</f>
        <v/>
      </c>
      <c r="M104" s="30"/>
      <c r="N104" s="31"/>
      <c r="O104" s="30"/>
      <c r="P104" s="30"/>
      <c r="Q104" s="33"/>
      <c r="R104" s="30"/>
      <c r="S104" s="30"/>
      <c r="T104" s="30"/>
      <c r="U104" s="30"/>
      <c r="V104" s="30"/>
      <c r="W104" s="30"/>
    </row>
    <row r="105" customFormat="false" ht="69" hidden="false" customHeight="true" outlineLevel="0" collapsed="false">
      <c r="A105" s="23"/>
      <c r="B105" s="24" t="n">
        <v>46155</v>
      </c>
      <c r="C105" s="25"/>
      <c r="D105" s="26"/>
      <c r="E105" s="26"/>
      <c r="F105" s="22" t="n">
        <f aca="false">(D105-E105)*0.25</f>
        <v>-0</v>
      </c>
      <c r="G105" s="22" t="n">
        <f aca="false">(D105-E105)-F105</f>
        <v>0</v>
      </c>
      <c r="H105" s="27"/>
      <c r="I105" s="27"/>
      <c r="J105" s="28" t="n">
        <f aca="false">SUM(I105-H105)/10</f>
        <v>0</v>
      </c>
      <c r="K105" s="39"/>
      <c r="L105" s="29" t="str">
        <f aca="false">IF(AND(K105=0,J105=0),"",K105/J105)</f>
        <v/>
      </c>
      <c r="M105" s="30"/>
      <c r="N105" s="31"/>
      <c r="O105" s="30"/>
      <c r="P105" s="30"/>
      <c r="Q105" s="33"/>
      <c r="R105" s="30"/>
      <c r="S105" s="30"/>
      <c r="T105" s="30"/>
      <c r="U105" s="30"/>
      <c r="V105" s="30"/>
      <c r="W105" s="30"/>
    </row>
    <row r="106" customFormat="false" ht="69" hidden="false" customHeight="true" outlineLevel="0" collapsed="false">
      <c r="A106" s="23"/>
      <c r="B106" s="24" t="n">
        <v>46156</v>
      </c>
      <c r="C106" s="25"/>
      <c r="D106" s="26"/>
      <c r="E106" s="26"/>
      <c r="F106" s="22" t="n">
        <f aca="false">(D106-E106)*0.25</f>
        <v>-0</v>
      </c>
      <c r="G106" s="22" t="n">
        <f aca="false">(D106-E106)-F106</f>
        <v>0</v>
      </c>
      <c r="H106" s="27"/>
      <c r="I106" s="27"/>
      <c r="J106" s="28" t="n">
        <f aca="false">SUM(I106-H106)/10</f>
        <v>0</v>
      </c>
      <c r="K106" s="39"/>
      <c r="L106" s="29" t="str">
        <f aca="false">IF(AND(K106=0,J106=0),"",K106/J106)</f>
        <v/>
      </c>
      <c r="M106" s="30"/>
      <c r="N106" s="31"/>
      <c r="O106" s="30"/>
      <c r="P106" s="30"/>
      <c r="Q106" s="33"/>
      <c r="R106" s="30"/>
      <c r="S106" s="30"/>
      <c r="T106" s="30"/>
      <c r="U106" s="30"/>
      <c r="V106" s="30"/>
      <c r="W106" s="30"/>
    </row>
    <row r="107" customFormat="false" ht="69" hidden="false" customHeight="true" outlineLevel="0" collapsed="false">
      <c r="A107" s="23"/>
      <c r="B107" s="24" t="n">
        <v>46157</v>
      </c>
      <c r="C107" s="25"/>
      <c r="D107" s="26"/>
      <c r="E107" s="26"/>
      <c r="F107" s="22" t="n">
        <f aca="false">(D107-E107)*0.25</f>
        <v>-0</v>
      </c>
      <c r="G107" s="22" t="n">
        <f aca="false">(D107-E107)-F107</f>
        <v>0</v>
      </c>
      <c r="H107" s="27"/>
      <c r="I107" s="27"/>
      <c r="J107" s="28" t="n">
        <f aca="false">SUM(I107-H107)/10</f>
        <v>0</v>
      </c>
      <c r="K107" s="39"/>
      <c r="L107" s="29" t="str">
        <f aca="false">IF(AND(K107=0,J107=0),"",K107/J107)</f>
        <v/>
      </c>
      <c r="M107" s="30"/>
      <c r="N107" s="31"/>
      <c r="O107" s="30"/>
      <c r="P107" s="30"/>
      <c r="Q107" s="33"/>
      <c r="R107" s="30"/>
      <c r="S107" s="30"/>
      <c r="T107" s="30"/>
      <c r="U107" s="30"/>
      <c r="V107" s="30"/>
      <c r="W107" s="30"/>
    </row>
    <row r="108" customFormat="false" ht="69" hidden="false" customHeight="true" outlineLevel="0" collapsed="false">
      <c r="A108" s="23"/>
      <c r="B108" s="24" t="n">
        <v>46158</v>
      </c>
      <c r="C108" s="25"/>
      <c r="D108" s="26"/>
      <c r="E108" s="26"/>
      <c r="F108" s="22" t="n">
        <f aca="false">(D108-E108)*0.25</f>
        <v>-0</v>
      </c>
      <c r="G108" s="22" t="n">
        <f aca="false">(D108-E108)-F108</f>
        <v>0</v>
      </c>
      <c r="H108" s="27"/>
      <c r="I108" s="27"/>
      <c r="J108" s="28" t="n">
        <f aca="false">SUM(I108-H108)/10</f>
        <v>0</v>
      </c>
      <c r="K108" s="39"/>
      <c r="L108" s="29" t="str">
        <f aca="false">IF(AND(K108=0,J108=0),"",K108/J108)</f>
        <v/>
      </c>
      <c r="M108" s="30"/>
      <c r="N108" s="31"/>
      <c r="O108" s="30"/>
      <c r="P108" s="30"/>
      <c r="Q108" s="33"/>
      <c r="R108" s="30"/>
      <c r="S108" s="30"/>
      <c r="T108" s="30"/>
      <c r="U108" s="30"/>
      <c r="V108" s="30"/>
      <c r="W108" s="30"/>
    </row>
    <row r="109" customFormat="false" ht="69" hidden="false" customHeight="true" outlineLevel="0" collapsed="false">
      <c r="A109" s="23"/>
      <c r="B109" s="24" t="n">
        <v>46159</v>
      </c>
      <c r="C109" s="25"/>
      <c r="D109" s="26"/>
      <c r="E109" s="26"/>
      <c r="F109" s="22" t="n">
        <f aca="false">(D109-E109)*0.25</f>
        <v>-0</v>
      </c>
      <c r="G109" s="22" t="n">
        <f aca="false">(D109-E109)-F109</f>
        <v>0</v>
      </c>
      <c r="H109" s="27"/>
      <c r="I109" s="27"/>
      <c r="J109" s="28" t="n">
        <f aca="false">SUM(I109-H109)/10</f>
        <v>0</v>
      </c>
      <c r="K109" s="39"/>
      <c r="L109" s="29" t="str">
        <f aca="false">IF(AND(K109=0,J109=0),"",K109/J109)</f>
        <v/>
      </c>
      <c r="M109" s="30"/>
      <c r="N109" s="31"/>
      <c r="O109" s="30"/>
      <c r="P109" s="30"/>
      <c r="Q109" s="33"/>
      <c r="R109" s="30"/>
      <c r="S109" s="30"/>
      <c r="T109" s="30"/>
      <c r="U109" s="30"/>
      <c r="V109" s="30"/>
      <c r="W109" s="30"/>
    </row>
    <row r="110" customFormat="false" ht="69" hidden="false" customHeight="true" outlineLevel="0" collapsed="false">
      <c r="A110" s="23"/>
      <c r="B110" s="24" t="n">
        <v>46160</v>
      </c>
      <c r="C110" s="25"/>
      <c r="D110" s="26"/>
      <c r="E110" s="26"/>
      <c r="F110" s="22" t="n">
        <f aca="false">(D110-E110)*0.25</f>
        <v>-0</v>
      </c>
      <c r="G110" s="22" t="n">
        <f aca="false">(D110-E110)-F110</f>
        <v>0</v>
      </c>
      <c r="H110" s="27"/>
      <c r="I110" s="27"/>
      <c r="J110" s="28" t="n">
        <f aca="false">SUM(I110-H110)/10</f>
        <v>0</v>
      </c>
      <c r="K110" s="39"/>
      <c r="L110" s="29" t="str">
        <f aca="false">IF(AND(K110=0,J110=0),"",K110/J110)</f>
        <v/>
      </c>
      <c r="M110" s="30"/>
      <c r="N110" s="31"/>
      <c r="O110" s="30"/>
      <c r="P110" s="30"/>
      <c r="Q110" s="33"/>
      <c r="R110" s="30"/>
      <c r="S110" s="30"/>
      <c r="T110" s="30"/>
      <c r="U110" s="30"/>
      <c r="V110" s="30"/>
      <c r="W110" s="30"/>
    </row>
    <row r="111" customFormat="false" ht="69" hidden="false" customHeight="true" outlineLevel="0" collapsed="false">
      <c r="A111" s="23"/>
      <c r="B111" s="24" t="n">
        <v>46161</v>
      </c>
      <c r="C111" s="25"/>
      <c r="D111" s="26"/>
      <c r="E111" s="26"/>
      <c r="F111" s="22" t="n">
        <f aca="false">(D111-E111)*0.25</f>
        <v>-0</v>
      </c>
      <c r="G111" s="22" t="n">
        <f aca="false">(D111-E111)-F111</f>
        <v>0</v>
      </c>
      <c r="H111" s="27"/>
      <c r="I111" s="27"/>
      <c r="J111" s="28" t="n">
        <f aca="false">SUM(I111-H111)/10</f>
        <v>0</v>
      </c>
      <c r="K111" s="39"/>
      <c r="L111" s="29" t="str">
        <f aca="false">IF(AND(K111=0,J111=0),"",K111/J111)</f>
        <v/>
      </c>
      <c r="M111" s="30"/>
      <c r="N111" s="31"/>
      <c r="O111" s="30"/>
      <c r="P111" s="30"/>
      <c r="Q111" s="33"/>
      <c r="R111" s="30"/>
      <c r="S111" s="30"/>
      <c r="T111" s="30"/>
      <c r="U111" s="30"/>
      <c r="V111" s="30"/>
      <c r="W111" s="30"/>
    </row>
    <row r="112" customFormat="false" ht="69" hidden="false" customHeight="true" outlineLevel="0" collapsed="false">
      <c r="A112" s="23"/>
      <c r="B112" s="24" t="n">
        <v>46162</v>
      </c>
      <c r="C112" s="25"/>
      <c r="D112" s="26"/>
      <c r="E112" s="26"/>
      <c r="F112" s="22" t="n">
        <f aca="false">(D112-E112)*0.25</f>
        <v>-0</v>
      </c>
      <c r="G112" s="22" t="n">
        <f aca="false">(D112-E112)-F112</f>
        <v>0</v>
      </c>
      <c r="H112" s="27"/>
      <c r="I112" s="27"/>
      <c r="J112" s="28" t="n">
        <f aca="false">SUM(I112-H112)/10</f>
        <v>0</v>
      </c>
      <c r="K112" s="39"/>
      <c r="L112" s="29" t="str">
        <f aca="false">IF(AND(K112=0,J112=0),"",K112/J112)</f>
        <v/>
      </c>
      <c r="M112" s="30"/>
      <c r="N112" s="31"/>
      <c r="O112" s="30"/>
      <c r="P112" s="30"/>
      <c r="Q112" s="33"/>
      <c r="R112" s="30"/>
      <c r="S112" s="30"/>
      <c r="T112" s="30"/>
      <c r="U112" s="30"/>
      <c r="V112" s="30"/>
      <c r="W112" s="30"/>
    </row>
    <row r="113" customFormat="false" ht="69" hidden="false" customHeight="true" outlineLevel="0" collapsed="false">
      <c r="A113" s="23"/>
      <c r="B113" s="24" t="n">
        <v>46163</v>
      </c>
      <c r="C113" s="25"/>
      <c r="D113" s="26"/>
      <c r="E113" s="26"/>
      <c r="F113" s="22" t="n">
        <f aca="false">(D113-E113)*0.25</f>
        <v>-0</v>
      </c>
      <c r="G113" s="22" t="n">
        <f aca="false">(D113-E113)-F113</f>
        <v>0</v>
      </c>
      <c r="H113" s="27"/>
      <c r="I113" s="27"/>
      <c r="J113" s="28" t="n">
        <f aca="false">SUM(I113-H113)/10</f>
        <v>0</v>
      </c>
      <c r="K113" s="39"/>
      <c r="L113" s="29" t="str">
        <f aca="false">IF(AND(K113=0,J113=0),"",K113/J113)</f>
        <v/>
      </c>
      <c r="M113" s="30"/>
      <c r="N113" s="31"/>
      <c r="O113" s="30"/>
      <c r="P113" s="30"/>
      <c r="Q113" s="33"/>
      <c r="R113" s="30"/>
      <c r="S113" s="30"/>
      <c r="T113" s="30"/>
      <c r="U113" s="30"/>
      <c r="V113" s="30"/>
      <c r="W113" s="30"/>
    </row>
    <row r="114" customFormat="false" ht="69" hidden="false" customHeight="true" outlineLevel="0" collapsed="false">
      <c r="A114" s="23"/>
      <c r="B114" s="24" t="n">
        <v>46164</v>
      </c>
      <c r="C114" s="25"/>
      <c r="D114" s="26"/>
      <c r="E114" s="26"/>
      <c r="F114" s="22" t="n">
        <f aca="false">(D114-E114)*0.25</f>
        <v>-0</v>
      </c>
      <c r="G114" s="22" t="n">
        <f aca="false">(D114-E114)-F114</f>
        <v>0</v>
      </c>
      <c r="H114" s="27"/>
      <c r="I114" s="27"/>
      <c r="J114" s="28" t="n">
        <f aca="false">SUM(I114-H114)/10</f>
        <v>0</v>
      </c>
      <c r="K114" s="39"/>
      <c r="L114" s="29" t="str">
        <f aca="false">IF(AND(K114=0,J114=0),"",K114/J114)</f>
        <v/>
      </c>
      <c r="M114" s="30"/>
      <c r="N114" s="31"/>
      <c r="O114" s="30"/>
      <c r="P114" s="30"/>
      <c r="Q114" s="33"/>
      <c r="R114" s="30"/>
      <c r="S114" s="30"/>
      <c r="T114" s="30"/>
      <c r="U114" s="30"/>
      <c r="V114" s="30"/>
      <c r="W114" s="30"/>
    </row>
    <row r="115" customFormat="false" ht="69" hidden="false" customHeight="true" outlineLevel="0" collapsed="false">
      <c r="A115" s="23"/>
      <c r="B115" s="24" t="n">
        <v>46165</v>
      </c>
      <c r="C115" s="25"/>
      <c r="D115" s="26"/>
      <c r="E115" s="26"/>
      <c r="F115" s="22" t="n">
        <f aca="false">(D115-E115)*0.25</f>
        <v>-0</v>
      </c>
      <c r="G115" s="22" t="n">
        <f aca="false">(D115-E115)-F115</f>
        <v>0</v>
      </c>
      <c r="H115" s="27"/>
      <c r="I115" s="27"/>
      <c r="J115" s="28" t="n">
        <f aca="false">SUM(I115-H115)/10</f>
        <v>0</v>
      </c>
      <c r="K115" s="39"/>
      <c r="L115" s="29" t="str">
        <f aca="false">IF(AND(K115=0,J115=0),"",K115/J115)</f>
        <v/>
      </c>
      <c r="M115" s="30"/>
      <c r="N115" s="31"/>
      <c r="O115" s="30"/>
      <c r="P115" s="30"/>
      <c r="Q115" s="33"/>
      <c r="R115" s="30"/>
      <c r="S115" s="30"/>
      <c r="T115" s="30"/>
      <c r="U115" s="30"/>
      <c r="V115" s="30"/>
      <c r="W115" s="30"/>
    </row>
    <row r="116" customFormat="false" ht="69" hidden="false" customHeight="true" outlineLevel="0" collapsed="false">
      <c r="A116" s="23"/>
      <c r="B116" s="24" t="n">
        <v>46166</v>
      </c>
      <c r="C116" s="25"/>
      <c r="D116" s="26"/>
      <c r="E116" s="26"/>
      <c r="F116" s="22" t="n">
        <f aca="false">(D116-E116)*0.25</f>
        <v>-0</v>
      </c>
      <c r="G116" s="22" t="n">
        <f aca="false">(D116-E116)-F116</f>
        <v>0</v>
      </c>
      <c r="H116" s="27"/>
      <c r="I116" s="27"/>
      <c r="J116" s="28" t="n">
        <f aca="false">SUM(I116-H116)/10</f>
        <v>0</v>
      </c>
      <c r="K116" s="39"/>
      <c r="L116" s="29" t="str">
        <f aca="false">IF(AND(K116=0,J116=0),"",K116/J116)</f>
        <v/>
      </c>
      <c r="M116" s="30"/>
      <c r="N116" s="31"/>
      <c r="O116" s="30"/>
      <c r="P116" s="30"/>
      <c r="Q116" s="33"/>
      <c r="R116" s="30"/>
      <c r="S116" s="30"/>
      <c r="T116" s="30"/>
      <c r="U116" s="30"/>
      <c r="V116" s="30"/>
      <c r="W116" s="30"/>
    </row>
    <row r="117" customFormat="false" ht="69" hidden="false" customHeight="true" outlineLevel="0" collapsed="false">
      <c r="A117" s="23"/>
      <c r="B117" s="24" t="n">
        <v>46167</v>
      </c>
      <c r="C117" s="25"/>
      <c r="D117" s="26"/>
      <c r="E117" s="26"/>
      <c r="F117" s="22" t="n">
        <f aca="false">(D117-E117)*0.25</f>
        <v>-0</v>
      </c>
      <c r="G117" s="22" t="n">
        <f aca="false">(D117-E117)-F117</f>
        <v>0</v>
      </c>
      <c r="H117" s="27"/>
      <c r="I117" s="27"/>
      <c r="J117" s="28" t="n">
        <f aca="false">SUM(I117-H117)/10</f>
        <v>0</v>
      </c>
      <c r="K117" s="39"/>
      <c r="L117" s="29" t="str">
        <f aca="false">IF(AND(K117=0,J117=0),"",K117/J117)</f>
        <v/>
      </c>
      <c r="M117" s="30"/>
      <c r="N117" s="31"/>
      <c r="O117" s="30"/>
      <c r="P117" s="30"/>
      <c r="Q117" s="33"/>
      <c r="R117" s="30"/>
      <c r="S117" s="30"/>
      <c r="T117" s="30"/>
      <c r="U117" s="30"/>
      <c r="V117" s="30"/>
      <c r="W117" s="30"/>
    </row>
    <row r="118" customFormat="false" ht="69" hidden="false" customHeight="true" outlineLevel="0" collapsed="false">
      <c r="A118" s="23"/>
      <c r="B118" s="24" t="n">
        <v>46168</v>
      </c>
      <c r="C118" s="25"/>
      <c r="D118" s="26"/>
      <c r="E118" s="26"/>
      <c r="F118" s="22" t="n">
        <f aca="false">(D118-E118)*0.25</f>
        <v>-0</v>
      </c>
      <c r="G118" s="22" t="n">
        <f aca="false">(D118-E118)-F118</f>
        <v>0</v>
      </c>
      <c r="H118" s="27"/>
      <c r="I118" s="27"/>
      <c r="J118" s="28" t="n">
        <f aca="false">SUM(I118-H118)/10</f>
        <v>0</v>
      </c>
      <c r="K118" s="39"/>
      <c r="L118" s="29" t="str">
        <f aca="false">IF(AND(K118=0,J118=0),"",K118/J118)</f>
        <v/>
      </c>
      <c r="M118" s="30"/>
      <c r="N118" s="31"/>
      <c r="O118" s="30"/>
      <c r="P118" s="30"/>
      <c r="Q118" s="33"/>
      <c r="R118" s="30"/>
      <c r="S118" s="30"/>
      <c r="T118" s="30"/>
      <c r="U118" s="30"/>
      <c r="V118" s="30"/>
      <c r="W118" s="30"/>
    </row>
    <row r="119" customFormat="false" ht="69" hidden="false" customHeight="true" outlineLevel="0" collapsed="false">
      <c r="A119" s="23"/>
      <c r="B119" s="24" t="n">
        <v>46169</v>
      </c>
      <c r="C119" s="25"/>
      <c r="D119" s="26"/>
      <c r="E119" s="26"/>
      <c r="F119" s="22" t="n">
        <f aca="false">(D119-E119)*0.25</f>
        <v>-0</v>
      </c>
      <c r="G119" s="22" t="n">
        <f aca="false">(D119-E119)-F119</f>
        <v>0</v>
      </c>
      <c r="H119" s="27"/>
      <c r="I119" s="27"/>
      <c r="J119" s="28" t="n">
        <f aca="false">SUM(I119-H119)/10</f>
        <v>0</v>
      </c>
      <c r="K119" s="39"/>
      <c r="L119" s="29" t="str">
        <f aca="false">IF(AND(K119=0,J119=0),"",K119/J119)</f>
        <v/>
      </c>
      <c r="M119" s="30"/>
      <c r="N119" s="31"/>
      <c r="O119" s="30"/>
      <c r="P119" s="30"/>
      <c r="Q119" s="33"/>
      <c r="R119" s="30"/>
      <c r="S119" s="30"/>
      <c r="T119" s="30"/>
      <c r="U119" s="30"/>
      <c r="V119" s="30"/>
      <c r="W119" s="30"/>
    </row>
    <row r="120" customFormat="false" ht="69" hidden="false" customHeight="true" outlineLevel="0" collapsed="false">
      <c r="A120" s="23"/>
      <c r="B120" s="24" t="n">
        <v>46170</v>
      </c>
      <c r="C120" s="25"/>
      <c r="D120" s="26"/>
      <c r="E120" s="26"/>
      <c r="F120" s="22" t="n">
        <f aca="false">(D120-E120)*0.25</f>
        <v>-0</v>
      </c>
      <c r="G120" s="22" t="n">
        <f aca="false">(D120-E120)-F120</f>
        <v>0</v>
      </c>
      <c r="H120" s="27"/>
      <c r="I120" s="27"/>
      <c r="J120" s="28" t="n">
        <f aca="false">SUM(I120-H120)/10</f>
        <v>0</v>
      </c>
      <c r="K120" s="39"/>
      <c r="L120" s="29" t="str">
        <f aca="false">IF(AND(K120=0,J120=0),"",K120/J120)</f>
        <v/>
      </c>
      <c r="M120" s="30"/>
      <c r="N120" s="31"/>
      <c r="O120" s="30"/>
      <c r="P120" s="30"/>
      <c r="Q120" s="33"/>
      <c r="R120" s="30"/>
      <c r="S120" s="30"/>
      <c r="T120" s="30"/>
      <c r="U120" s="30"/>
      <c r="V120" s="30"/>
      <c r="W120" s="30"/>
    </row>
    <row r="121" customFormat="false" ht="69" hidden="false" customHeight="true" outlineLevel="0" collapsed="false">
      <c r="A121" s="23"/>
      <c r="B121" s="24" t="n">
        <v>46171</v>
      </c>
      <c r="C121" s="25"/>
      <c r="D121" s="26"/>
      <c r="E121" s="26"/>
      <c r="F121" s="22" t="n">
        <f aca="false">(D121-E121)*0.25</f>
        <v>-0</v>
      </c>
      <c r="G121" s="22" t="n">
        <f aca="false">(D121-E121)-F121</f>
        <v>0</v>
      </c>
      <c r="H121" s="27"/>
      <c r="I121" s="27"/>
      <c r="J121" s="28" t="n">
        <f aca="false">SUM(I121-H121)/10</f>
        <v>0</v>
      </c>
      <c r="K121" s="39"/>
      <c r="L121" s="29" t="str">
        <f aca="false">IF(AND(K121=0,J121=0),"",K121/J121)</f>
        <v/>
      </c>
      <c r="M121" s="30"/>
      <c r="N121" s="31"/>
      <c r="O121" s="30"/>
      <c r="P121" s="30"/>
      <c r="Q121" s="33"/>
      <c r="R121" s="30"/>
      <c r="S121" s="30"/>
      <c r="T121" s="30"/>
      <c r="U121" s="30"/>
      <c r="V121" s="30"/>
      <c r="W121" s="30"/>
    </row>
    <row r="122" customFormat="false" ht="69" hidden="false" customHeight="true" outlineLevel="0" collapsed="false">
      <c r="A122" s="23"/>
      <c r="B122" s="24" t="n">
        <v>46172</v>
      </c>
      <c r="C122" s="25"/>
      <c r="D122" s="26"/>
      <c r="E122" s="26"/>
      <c r="F122" s="22" t="n">
        <f aca="false">(D122-E122)*0.25</f>
        <v>-0</v>
      </c>
      <c r="G122" s="22" t="n">
        <f aca="false">(D122-E122)-F122</f>
        <v>0</v>
      </c>
      <c r="H122" s="27"/>
      <c r="I122" s="27"/>
      <c r="J122" s="28" t="n">
        <f aca="false">SUM(I122-H122)/10</f>
        <v>0</v>
      </c>
      <c r="K122" s="39"/>
      <c r="L122" s="29" t="str">
        <f aca="false">IF(AND(K122=0,J122=0),"",K122/J122)</f>
        <v/>
      </c>
      <c r="M122" s="30"/>
      <c r="N122" s="31"/>
      <c r="O122" s="30"/>
      <c r="P122" s="30"/>
      <c r="Q122" s="33"/>
      <c r="R122" s="30"/>
      <c r="S122" s="30"/>
      <c r="T122" s="30"/>
      <c r="U122" s="30"/>
      <c r="V122" s="30"/>
      <c r="W122" s="30"/>
    </row>
    <row r="123" customFormat="false" ht="69" hidden="false" customHeight="true" outlineLevel="0" collapsed="false">
      <c r="A123" s="23"/>
      <c r="B123" s="24" t="n">
        <v>46173</v>
      </c>
      <c r="C123" s="25"/>
      <c r="D123" s="26"/>
      <c r="E123" s="26"/>
      <c r="F123" s="22" t="n">
        <f aca="false">(D123-E123)*0.25</f>
        <v>-0</v>
      </c>
      <c r="G123" s="22" t="n">
        <f aca="false">(D123-E123)-F123</f>
        <v>0</v>
      </c>
      <c r="H123" s="27"/>
      <c r="I123" s="27"/>
      <c r="J123" s="28" t="n">
        <f aca="false">SUM(I123-H123)/10</f>
        <v>0</v>
      </c>
      <c r="K123" s="39"/>
      <c r="L123" s="29" t="str">
        <f aca="false">IF(AND(K123=0,J123=0),"",K123/J123)</f>
        <v/>
      </c>
      <c r="M123" s="30"/>
      <c r="N123" s="31"/>
      <c r="O123" s="30"/>
      <c r="P123" s="30"/>
      <c r="Q123" s="33"/>
      <c r="R123" s="30"/>
      <c r="S123" s="30"/>
      <c r="T123" s="30"/>
      <c r="U123" s="30"/>
      <c r="V123" s="30"/>
      <c r="W123" s="30"/>
    </row>
    <row r="124" customFormat="false" ht="69" hidden="false" customHeight="true" outlineLevel="0" collapsed="false">
      <c r="A124" s="23"/>
      <c r="B124" s="24" t="n">
        <v>46174</v>
      </c>
      <c r="C124" s="25"/>
      <c r="D124" s="26"/>
      <c r="E124" s="26"/>
      <c r="F124" s="22" t="n">
        <f aca="false">(D124-E124)*0.25</f>
        <v>-0</v>
      </c>
      <c r="G124" s="22" t="n">
        <f aca="false">(D124-E124)-F124</f>
        <v>0</v>
      </c>
      <c r="H124" s="27"/>
      <c r="I124" s="27"/>
      <c r="J124" s="28" t="n">
        <f aca="false">SUM(I124-H124)/10</f>
        <v>0</v>
      </c>
      <c r="K124" s="39"/>
      <c r="L124" s="29" t="str">
        <f aca="false">IF(AND(K124=0,J124=0),"",K124/J124)</f>
        <v/>
      </c>
      <c r="M124" s="30"/>
      <c r="N124" s="31"/>
      <c r="O124" s="30"/>
      <c r="P124" s="30"/>
      <c r="Q124" s="33"/>
      <c r="R124" s="30"/>
      <c r="S124" s="30"/>
      <c r="T124" s="30"/>
      <c r="U124" s="30"/>
      <c r="V124" s="30"/>
      <c r="W124" s="30"/>
    </row>
    <row r="125" customFormat="false" ht="69" hidden="false" customHeight="true" outlineLevel="0" collapsed="false">
      <c r="A125" s="23"/>
      <c r="B125" s="24" t="n">
        <v>46175</v>
      </c>
      <c r="C125" s="25"/>
      <c r="D125" s="26"/>
      <c r="E125" s="26"/>
      <c r="F125" s="22" t="n">
        <f aca="false">(D125-E125)*0.25</f>
        <v>-0</v>
      </c>
      <c r="G125" s="22" t="n">
        <f aca="false">(D125-E125)-F125</f>
        <v>0</v>
      </c>
      <c r="H125" s="27"/>
      <c r="I125" s="27"/>
      <c r="J125" s="28" t="n">
        <f aca="false">SUM(I125-H125)/10</f>
        <v>0</v>
      </c>
      <c r="K125" s="39"/>
      <c r="L125" s="29" t="str">
        <f aca="false">IF(AND(K125=0,J125=0),"",K125/J125)</f>
        <v/>
      </c>
      <c r="M125" s="30"/>
      <c r="N125" s="31"/>
      <c r="O125" s="30"/>
      <c r="P125" s="30"/>
      <c r="Q125" s="33"/>
      <c r="R125" s="30"/>
      <c r="S125" s="30"/>
      <c r="T125" s="30"/>
      <c r="U125" s="30"/>
      <c r="V125" s="30"/>
      <c r="W125" s="30"/>
    </row>
    <row r="126" customFormat="false" ht="69" hidden="false" customHeight="true" outlineLevel="0" collapsed="false">
      <c r="A126" s="23"/>
      <c r="B126" s="24" t="n">
        <v>46176</v>
      </c>
      <c r="C126" s="25"/>
      <c r="D126" s="26"/>
      <c r="E126" s="26"/>
      <c r="F126" s="22" t="n">
        <f aca="false">(D126-E126)*0.25</f>
        <v>-0</v>
      </c>
      <c r="G126" s="22" t="n">
        <f aca="false">(D126-E126)-F126</f>
        <v>0</v>
      </c>
      <c r="H126" s="27"/>
      <c r="I126" s="27"/>
      <c r="J126" s="28" t="n">
        <f aca="false">SUM(I126-H126)/10</f>
        <v>0</v>
      </c>
      <c r="K126" s="39"/>
      <c r="L126" s="29" t="str">
        <f aca="false">IF(AND(K126=0,J126=0),"",K126/J126)</f>
        <v/>
      </c>
      <c r="M126" s="30"/>
      <c r="N126" s="31"/>
      <c r="O126" s="30"/>
      <c r="P126" s="30"/>
      <c r="Q126" s="33"/>
      <c r="R126" s="30"/>
      <c r="S126" s="30"/>
      <c r="T126" s="30"/>
      <c r="U126" s="30"/>
      <c r="V126" s="30"/>
      <c r="W126" s="30"/>
    </row>
    <row r="127" customFormat="false" ht="69" hidden="false" customHeight="true" outlineLevel="0" collapsed="false">
      <c r="A127" s="23"/>
      <c r="B127" s="24" t="n">
        <v>46177</v>
      </c>
      <c r="C127" s="25"/>
      <c r="D127" s="26"/>
      <c r="E127" s="26"/>
      <c r="F127" s="22" t="n">
        <f aca="false">(D127-E127)*0.25</f>
        <v>-0</v>
      </c>
      <c r="G127" s="22" t="n">
        <f aca="false">(D127-E127)-F127</f>
        <v>0</v>
      </c>
      <c r="H127" s="27"/>
      <c r="I127" s="27"/>
      <c r="J127" s="28" t="n">
        <f aca="false">SUM(I127-H127)/10</f>
        <v>0</v>
      </c>
      <c r="K127" s="39"/>
      <c r="L127" s="29" t="str">
        <f aca="false">IF(AND(K127=0,J127=0),"",K127/J127)</f>
        <v/>
      </c>
      <c r="M127" s="30"/>
      <c r="N127" s="31"/>
      <c r="O127" s="30"/>
      <c r="P127" s="30"/>
      <c r="Q127" s="33"/>
      <c r="R127" s="30"/>
      <c r="S127" s="30"/>
      <c r="T127" s="30"/>
      <c r="U127" s="30"/>
      <c r="V127" s="30"/>
      <c r="W127" s="30"/>
    </row>
    <row r="128" customFormat="false" ht="69" hidden="false" customHeight="true" outlineLevel="0" collapsed="false">
      <c r="A128" s="23"/>
      <c r="B128" s="24" t="n">
        <v>46178</v>
      </c>
      <c r="C128" s="25"/>
      <c r="D128" s="26"/>
      <c r="E128" s="26"/>
      <c r="F128" s="22" t="n">
        <f aca="false">(D128-E128)*0.25</f>
        <v>-0</v>
      </c>
      <c r="G128" s="22" t="n">
        <f aca="false">(D128-E128)-F128</f>
        <v>0</v>
      </c>
      <c r="H128" s="27"/>
      <c r="I128" s="27"/>
      <c r="J128" s="28" t="n">
        <f aca="false">SUM(I128-H128)/10</f>
        <v>0</v>
      </c>
      <c r="K128" s="39"/>
      <c r="L128" s="29" t="str">
        <f aca="false">IF(AND(K128=0,J128=0),"",K128/J128)</f>
        <v/>
      </c>
      <c r="M128" s="30"/>
      <c r="N128" s="31"/>
      <c r="O128" s="30"/>
      <c r="P128" s="30"/>
      <c r="Q128" s="33"/>
      <c r="R128" s="30"/>
      <c r="S128" s="30"/>
      <c r="T128" s="30"/>
      <c r="U128" s="30"/>
      <c r="V128" s="30"/>
      <c r="W128" s="30"/>
    </row>
    <row r="129" customFormat="false" ht="69" hidden="false" customHeight="true" outlineLevel="0" collapsed="false">
      <c r="A129" s="23"/>
      <c r="B129" s="24" t="n">
        <v>46179</v>
      </c>
      <c r="C129" s="25"/>
      <c r="D129" s="26"/>
      <c r="E129" s="26"/>
      <c r="F129" s="22" t="n">
        <f aca="false">(D129-E129)*0.25</f>
        <v>-0</v>
      </c>
      <c r="G129" s="22" t="n">
        <f aca="false">(D129-E129)-F129</f>
        <v>0</v>
      </c>
      <c r="H129" s="27"/>
      <c r="I129" s="27"/>
      <c r="J129" s="28" t="n">
        <f aca="false">SUM(I129-H129)/10</f>
        <v>0</v>
      </c>
      <c r="K129" s="39"/>
      <c r="L129" s="29" t="str">
        <f aca="false">IF(AND(K129=0,J129=0),"",K129/J129)</f>
        <v/>
      </c>
      <c r="M129" s="30"/>
      <c r="N129" s="31"/>
      <c r="O129" s="30"/>
      <c r="P129" s="30"/>
      <c r="Q129" s="33"/>
      <c r="R129" s="30"/>
      <c r="S129" s="30"/>
      <c r="T129" s="30"/>
      <c r="U129" s="30"/>
      <c r="V129" s="30"/>
      <c r="W129" s="30"/>
    </row>
    <row r="130" customFormat="false" ht="69" hidden="false" customHeight="true" outlineLevel="0" collapsed="false">
      <c r="A130" s="23"/>
      <c r="B130" s="24" t="n">
        <v>46180</v>
      </c>
      <c r="C130" s="25"/>
      <c r="D130" s="26"/>
      <c r="E130" s="26"/>
      <c r="F130" s="22" t="n">
        <f aca="false">(D130-E130)*0.25</f>
        <v>-0</v>
      </c>
      <c r="G130" s="22" t="n">
        <f aca="false">(D130-E130)-F130</f>
        <v>0</v>
      </c>
      <c r="H130" s="27"/>
      <c r="I130" s="27"/>
      <c r="J130" s="28" t="n">
        <f aca="false">SUM(I130-H130)/10</f>
        <v>0</v>
      </c>
      <c r="K130" s="39"/>
      <c r="L130" s="29" t="str">
        <f aca="false">IF(AND(K130=0,J130=0),"",K130/J130)</f>
        <v/>
      </c>
      <c r="M130" s="30"/>
      <c r="N130" s="31"/>
      <c r="O130" s="30"/>
      <c r="P130" s="30"/>
      <c r="Q130" s="33"/>
      <c r="R130" s="30"/>
      <c r="S130" s="30"/>
      <c r="T130" s="30"/>
      <c r="U130" s="30"/>
      <c r="V130" s="30"/>
      <c r="W130" s="30"/>
    </row>
    <row r="131" customFormat="false" ht="69" hidden="false" customHeight="true" outlineLevel="0" collapsed="false">
      <c r="A131" s="23"/>
      <c r="B131" s="24" t="n">
        <v>46181</v>
      </c>
      <c r="C131" s="25"/>
      <c r="D131" s="26"/>
      <c r="E131" s="26"/>
      <c r="F131" s="22" t="n">
        <f aca="false">(D131-E131)*0.25</f>
        <v>-0</v>
      </c>
      <c r="G131" s="22" t="n">
        <f aca="false">(D131-E131)-F131</f>
        <v>0</v>
      </c>
      <c r="H131" s="27"/>
      <c r="I131" s="27"/>
      <c r="J131" s="28" t="n">
        <f aca="false">SUM(I131-H131)/10</f>
        <v>0</v>
      </c>
      <c r="K131" s="39"/>
      <c r="L131" s="29" t="str">
        <f aca="false">IF(AND(K131=0,J131=0),"",K131/J131)</f>
        <v/>
      </c>
      <c r="M131" s="30"/>
      <c r="N131" s="31"/>
      <c r="O131" s="30"/>
      <c r="P131" s="30"/>
      <c r="Q131" s="33"/>
      <c r="R131" s="30"/>
      <c r="S131" s="30"/>
      <c r="T131" s="30"/>
      <c r="U131" s="30"/>
      <c r="V131" s="30"/>
      <c r="W131" s="30"/>
    </row>
    <row r="132" customFormat="false" ht="69" hidden="false" customHeight="true" outlineLevel="0" collapsed="false">
      <c r="A132" s="23"/>
      <c r="B132" s="24" t="n">
        <v>46182</v>
      </c>
      <c r="C132" s="25"/>
      <c r="D132" s="26"/>
      <c r="E132" s="26"/>
      <c r="F132" s="22" t="n">
        <f aca="false">(D132-E132)*0.25</f>
        <v>-0</v>
      </c>
      <c r="G132" s="22" t="n">
        <f aca="false">(D132-E132)-F132</f>
        <v>0</v>
      </c>
      <c r="H132" s="27"/>
      <c r="I132" s="27"/>
      <c r="J132" s="28" t="n">
        <f aca="false">SUM(I132-H132)/10</f>
        <v>0</v>
      </c>
      <c r="K132" s="39"/>
      <c r="L132" s="29" t="str">
        <f aca="false">IF(AND(K132=0,J132=0),"",K132/J132)</f>
        <v/>
      </c>
      <c r="M132" s="30"/>
      <c r="N132" s="31"/>
      <c r="O132" s="30"/>
      <c r="P132" s="30"/>
      <c r="Q132" s="33"/>
      <c r="R132" s="30"/>
      <c r="S132" s="30"/>
      <c r="T132" s="30"/>
      <c r="U132" s="30"/>
      <c r="V132" s="30"/>
      <c r="W132" s="30"/>
    </row>
    <row r="133" customFormat="false" ht="69" hidden="false" customHeight="true" outlineLevel="0" collapsed="false">
      <c r="A133" s="23"/>
      <c r="B133" s="24" t="n">
        <v>46183</v>
      </c>
      <c r="C133" s="25"/>
      <c r="D133" s="26"/>
      <c r="E133" s="26"/>
      <c r="F133" s="22" t="n">
        <f aca="false">(D133-E133)*0.25</f>
        <v>-0</v>
      </c>
      <c r="G133" s="22" t="n">
        <f aca="false">(D133-E133)-F133</f>
        <v>0</v>
      </c>
      <c r="H133" s="27"/>
      <c r="I133" s="27"/>
      <c r="J133" s="28" t="n">
        <f aca="false">SUM(I133-H133)/10</f>
        <v>0</v>
      </c>
      <c r="K133" s="39"/>
      <c r="L133" s="29" t="str">
        <f aca="false">IF(AND(K133=0,J133=0),"",K133/J133)</f>
        <v/>
      </c>
      <c r="M133" s="30"/>
      <c r="N133" s="31"/>
      <c r="O133" s="30"/>
      <c r="P133" s="30"/>
      <c r="Q133" s="33"/>
      <c r="R133" s="30"/>
      <c r="S133" s="30"/>
      <c r="T133" s="30"/>
      <c r="U133" s="30"/>
      <c r="V133" s="30"/>
      <c r="W133" s="30"/>
    </row>
    <row r="134" customFormat="false" ht="69" hidden="false" customHeight="true" outlineLevel="0" collapsed="false">
      <c r="A134" s="23"/>
      <c r="B134" s="24" t="n">
        <v>46184</v>
      </c>
      <c r="C134" s="25"/>
      <c r="D134" s="26"/>
      <c r="E134" s="26"/>
      <c r="F134" s="22" t="n">
        <f aca="false">(D134-E134)*0.25</f>
        <v>-0</v>
      </c>
      <c r="G134" s="22" t="n">
        <f aca="false">(D134-E134)-F134</f>
        <v>0</v>
      </c>
      <c r="H134" s="27"/>
      <c r="I134" s="27"/>
      <c r="J134" s="28" t="n">
        <f aca="false">SUM(I134-H134)/10</f>
        <v>0</v>
      </c>
      <c r="K134" s="39"/>
      <c r="L134" s="29" t="str">
        <f aca="false">IF(AND(K134=0,J134=0),"",K134/J134)</f>
        <v/>
      </c>
      <c r="M134" s="30"/>
      <c r="N134" s="31"/>
      <c r="O134" s="30"/>
      <c r="P134" s="30"/>
      <c r="Q134" s="33"/>
      <c r="R134" s="30"/>
      <c r="S134" s="30"/>
      <c r="T134" s="30"/>
      <c r="U134" s="30"/>
      <c r="V134" s="30"/>
      <c r="W134" s="30"/>
    </row>
    <row r="135" customFormat="false" ht="69" hidden="false" customHeight="true" outlineLevel="0" collapsed="false">
      <c r="A135" s="23"/>
      <c r="B135" s="24" t="n">
        <v>46185</v>
      </c>
      <c r="C135" s="25"/>
      <c r="D135" s="26"/>
      <c r="E135" s="26"/>
      <c r="F135" s="22" t="n">
        <f aca="false">(D135-E135)*0.25</f>
        <v>-0</v>
      </c>
      <c r="G135" s="22" t="n">
        <f aca="false">(D135-E135)-F135</f>
        <v>0</v>
      </c>
      <c r="H135" s="27"/>
      <c r="I135" s="27"/>
      <c r="J135" s="28" t="n">
        <f aca="false">SUM(I135-H135)/10</f>
        <v>0</v>
      </c>
      <c r="K135" s="39"/>
      <c r="L135" s="29" t="str">
        <f aca="false">IF(AND(K135=0,J135=0),"",K135/J135)</f>
        <v/>
      </c>
      <c r="M135" s="30"/>
      <c r="N135" s="31"/>
      <c r="O135" s="30"/>
      <c r="P135" s="30"/>
      <c r="Q135" s="33"/>
      <c r="R135" s="30"/>
      <c r="S135" s="30"/>
      <c r="T135" s="30"/>
      <c r="U135" s="30"/>
      <c r="V135" s="30"/>
      <c r="W135" s="30"/>
    </row>
    <row r="136" customFormat="false" ht="69" hidden="false" customHeight="true" outlineLevel="0" collapsed="false">
      <c r="A136" s="23"/>
      <c r="B136" s="24" t="n">
        <v>46186</v>
      </c>
      <c r="C136" s="25"/>
      <c r="D136" s="26"/>
      <c r="E136" s="26"/>
      <c r="F136" s="22" t="n">
        <f aca="false">(D136-E136)*0.25</f>
        <v>-0</v>
      </c>
      <c r="G136" s="22" t="n">
        <f aca="false">(D136-E136)-F136</f>
        <v>0</v>
      </c>
      <c r="H136" s="27"/>
      <c r="I136" s="27"/>
      <c r="J136" s="28" t="n">
        <f aca="false">SUM(I136-H136)/10</f>
        <v>0</v>
      </c>
      <c r="K136" s="39"/>
      <c r="L136" s="29" t="str">
        <f aca="false">IF(AND(K136=0,J136=0),"",K136/J136)</f>
        <v/>
      </c>
      <c r="M136" s="30"/>
      <c r="N136" s="31"/>
      <c r="O136" s="30"/>
      <c r="P136" s="30"/>
      <c r="Q136" s="33"/>
      <c r="R136" s="30"/>
      <c r="S136" s="30"/>
      <c r="T136" s="30"/>
      <c r="U136" s="30"/>
      <c r="V136" s="30"/>
      <c r="W136" s="30"/>
    </row>
    <row r="137" customFormat="false" ht="69" hidden="false" customHeight="true" outlineLevel="0" collapsed="false">
      <c r="A137" s="23"/>
      <c r="B137" s="24" t="n">
        <v>46187</v>
      </c>
      <c r="C137" s="25"/>
      <c r="D137" s="26"/>
      <c r="E137" s="26"/>
      <c r="F137" s="22" t="n">
        <f aca="false">(D137-E137)*0.25</f>
        <v>-0</v>
      </c>
      <c r="G137" s="22" t="n">
        <f aca="false">(D137-E137)-F137</f>
        <v>0</v>
      </c>
      <c r="H137" s="27"/>
      <c r="I137" s="27"/>
      <c r="J137" s="28" t="n">
        <f aca="false">SUM(I137-H137)/10</f>
        <v>0</v>
      </c>
      <c r="K137" s="39"/>
      <c r="L137" s="29" t="str">
        <f aca="false">IF(AND(K137=0,J137=0),"",K137/J137)</f>
        <v/>
      </c>
      <c r="M137" s="30"/>
      <c r="N137" s="31"/>
      <c r="O137" s="30"/>
      <c r="P137" s="30"/>
      <c r="Q137" s="33"/>
      <c r="R137" s="30"/>
      <c r="S137" s="30"/>
      <c r="T137" s="30"/>
      <c r="U137" s="30"/>
      <c r="V137" s="30"/>
      <c r="W137" s="30"/>
    </row>
    <row r="138" customFormat="false" ht="69" hidden="false" customHeight="true" outlineLevel="0" collapsed="false">
      <c r="A138" s="23"/>
      <c r="B138" s="24" t="n">
        <v>46188</v>
      </c>
      <c r="C138" s="25"/>
      <c r="D138" s="26"/>
      <c r="E138" s="26"/>
      <c r="F138" s="22" t="n">
        <f aca="false">(D138-E138)*0.25</f>
        <v>-0</v>
      </c>
      <c r="G138" s="22" t="n">
        <f aca="false">(D138-E138)-F138</f>
        <v>0</v>
      </c>
      <c r="H138" s="27"/>
      <c r="I138" s="27"/>
      <c r="J138" s="28" t="n">
        <f aca="false">SUM(I138-H138)/10</f>
        <v>0</v>
      </c>
      <c r="K138" s="39"/>
      <c r="L138" s="29" t="str">
        <f aca="false">IF(AND(K138=0,J138=0),"",K138/J138)</f>
        <v/>
      </c>
      <c r="M138" s="30"/>
      <c r="N138" s="31"/>
      <c r="O138" s="30"/>
      <c r="P138" s="30"/>
      <c r="Q138" s="33"/>
      <c r="R138" s="30"/>
      <c r="S138" s="30"/>
      <c r="T138" s="30"/>
      <c r="U138" s="30"/>
      <c r="V138" s="30"/>
      <c r="W138" s="30"/>
    </row>
    <row r="139" customFormat="false" ht="69" hidden="false" customHeight="true" outlineLevel="0" collapsed="false">
      <c r="A139" s="23"/>
      <c r="B139" s="24" t="n">
        <v>46189</v>
      </c>
      <c r="C139" s="25"/>
      <c r="D139" s="26"/>
      <c r="E139" s="26"/>
      <c r="F139" s="22" t="n">
        <f aca="false">(D139-E139)*0.25</f>
        <v>-0</v>
      </c>
      <c r="G139" s="22" t="n">
        <f aca="false">(D139-E139)-F139</f>
        <v>0</v>
      </c>
      <c r="H139" s="27"/>
      <c r="I139" s="27"/>
      <c r="J139" s="28" t="n">
        <f aca="false">SUM(I139-H139)/10</f>
        <v>0</v>
      </c>
      <c r="K139" s="39"/>
      <c r="L139" s="29" t="str">
        <f aca="false">IF(AND(K139=0,J139=0),"",K139/J139)</f>
        <v/>
      </c>
      <c r="M139" s="30"/>
      <c r="N139" s="31"/>
      <c r="O139" s="30"/>
      <c r="P139" s="30"/>
      <c r="Q139" s="33"/>
      <c r="R139" s="30"/>
      <c r="S139" s="30"/>
      <c r="T139" s="30"/>
      <c r="U139" s="30"/>
      <c r="V139" s="30"/>
      <c r="W139" s="30"/>
    </row>
    <row r="140" customFormat="false" ht="69" hidden="false" customHeight="true" outlineLevel="0" collapsed="false">
      <c r="A140" s="23"/>
      <c r="B140" s="24" t="n">
        <v>46190</v>
      </c>
      <c r="C140" s="25"/>
      <c r="D140" s="26"/>
      <c r="E140" s="26"/>
      <c r="F140" s="22" t="n">
        <f aca="false">(D140-E140)*0.25</f>
        <v>-0</v>
      </c>
      <c r="G140" s="22" t="n">
        <f aca="false">(D140-E140)-F140</f>
        <v>0</v>
      </c>
      <c r="H140" s="27"/>
      <c r="I140" s="27"/>
      <c r="J140" s="28" t="n">
        <f aca="false">SUM(I140-H140)/10</f>
        <v>0</v>
      </c>
      <c r="K140" s="39"/>
      <c r="L140" s="29" t="str">
        <f aca="false">IF(AND(K140=0,J140=0),"",K140/J140)</f>
        <v/>
      </c>
      <c r="M140" s="30"/>
      <c r="N140" s="31"/>
      <c r="O140" s="30"/>
      <c r="P140" s="30"/>
      <c r="Q140" s="33"/>
      <c r="R140" s="30"/>
      <c r="S140" s="30"/>
      <c r="T140" s="30"/>
      <c r="U140" s="30"/>
      <c r="V140" s="30"/>
      <c r="W140" s="30"/>
    </row>
    <row r="141" customFormat="false" ht="69" hidden="false" customHeight="true" outlineLevel="0" collapsed="false">
      <c r="A141" s="23"/>
      <c r="B141" s="24" t="n">
        <v>46191</v>
      </c>
      <c r="C141" s="25"/>
      <c r="D141" s="26"/>
      <c r="E141" s="26"/>
      <c r="F141" s="22" t="n">
        <f aca="false">(D141-E141)*0.25</f>
        <v>-0</v>
      </c>
      <c r="G141" s="22" t="n">
        <f aca="false">(D141-E141)-F141</f>
        <v>0</v>
      </c>
      <c r="H141" s="27"/>
      <c r="I141" s="27"/>
      <c r="J141" s="28" t="n">
        <f aca="false">SUM(I141-H141)/10</f>
        <v>0</v>
      </c>
      <c r="K141" s="39"/>
      <c r="L141" s="29" t="str">
        <f aca="false">IF(AND(K141=0,J141=0),"",K141/J141)</f>
        <v/>
      </c>
      <c r="M141" s="30"/>
      <c r="N141" s="31"/>
      <c r="O141" s="30"/>
      <c r="P141" s="30"/>
      <c r="Q141" s="33"/>
      <c r="R141" s="30"/>
      <c r="S141" s="30"/>
      <c r="T141" s="30"/>
      <c r="U141" s="30"/>
      <c r="V141" s="30"/>
      <c r="W141" s="30"/>
    </row>
    <row r="142" customFormat="false" ht="69" hidden="false" customHeight="true" outlineLevel="0" collapsed="false">
      <c r="A142" s="23"/>
      <c r="B142" s="24" t="n">
        <v>46192</v>
      </c>
      <c r="C142" s="25"/>
      <c r="D142" s="26"/>
      <c r="E142" s="26"/>
      <c r="F142" s="22" t="n">
        <f aca="false">(D142-E142)*0.25</f>
        <v>-0</v>
      </c>
      <c r="G142" s="22" t="n">
        <f aca="false">(D142-E142)-F142</f>
        <v>0</v>
      </c>
      <c r="H142" s="27"/>
      <c r="I142" s="27"/>
      <c r="J142" s="28" t="n">
        <f aca="false">SUM(I142-H142)/10</f>
        <v>0</v>
      </c>
      <c r="K142" s="39"/>
      <c r="L142" s="29" t="str">
        <f aca="false">IF(AND(K142=0,J142=0),"",K142/J142)</f>
        <v/>
      </c>
      <c r="M142" s="30"/>
      <c r="N142" s="31"/>
      <c r="O142" s="30"/>
      <c r="P142" s="30"/>
      <c r="Q142" s="33"/>
      <c r="R142" s="30"/>
      <c r="S142" s="30"/>
      <c r="T142" s="30"/>
      <c r="U142" s="30"/>
      <c r="V142" s="30"/>
      <c r="W142" s="30"/>
    </row>
    <row r="143" customFormat="false" ht="69" hidden="false" customHeight="true" outlineLevel="0" collapsed="false">
      <c r="A143" s="23"/>
      <c r="B143" s="24" t="n">
        <v>46193</v>
      </c>
      <c r="C143" s="25"/>
      <c r="D143" s="26"/>
      <c r="E143" s="26"/>
      <c r="F143" s="22" t="n">
        <f aca="false">(D143-E143)*0.25</f>
        <v>-0</v>
      </c>
      <c r="G143" s="22" t="n">
        <f aca="false">(D143-E143)-F143</f>
        <v>0</v>
      </c>
      <c r="H143" s="27"/>
      <c r="I143" s="27"/>
      <c r="J143" s="28" t="n">
        <f aca="false">SUM(I143-H143)/10</f>
        <v>0</v>
      </c>
      <c r="K143" s="39"/>
      <c r="L143" s="29" t="str">
        <f aca="false">IF(AND(K143=0,J143=0),"",K143/J143)</f>
        <v/>
      </c>
      <c r="M143" s="30"/>
      <c r="N143" s="31"/>
      <c r="O143" s="30"/>
      <c r="P143" s="30"/>
      <c r="Q143" s="33"/>
      <c r="R143" s="30"/>
      <c r="S143" s="30"/>
      <c r="T143" s="30"/>
      <c r="U143" s="30"/>
      <c r="V143" s="30"/>
      <c r="W143" s="30"/>
    </row>
    <row r="144" customFormat="false" ht="69" hidden="false" customHeight="true" outlineLevel="0" collapsed="false">
      <c r="A144" s="23"/>
      <c r="B144" s="24" t="n">
        <v>46194</v>
      </c>
      <c r="C144" s="25"/>
      <c r="D144" s="26"/>
      <c r="E144" s="26"/>
      <c r="F144" s="22" t="n">
        <f aca="false">(D144-E144)*0.25</f>
        <v>-0</v>
      </c>
      <c r="G144" s="22" t="n">
        <f aca="false">(D144-E144)-F144</f>
        <v>0</v>
      </c>
      <c r="H144" s="27"/>
      <c r="I144" s="27"/>
      <c r="J144" s="28" t="n">
        <f aca="false">SUM(I144-H144)/10</f>
        <v>0</v>
      </c>
      <c r="K144" s="39"/>
      <c r="L144" s="29" t="str">
        <f aca="false">IF(AND(K144=0,J144=0),"",K144/J144)</f>
        <v/>
      </c>
      <c r="M144" s="30"/>
      <c r="N144" s="31"/>
      <c r="O144" s="30"/>
      <c r="P144" s="30"/>
      <c r="Q144" s="33"/>
      <c r="R144" s="30"/>
      <c r="S144" s="30"/>
      <c r="T144" s="30"/>
      <c r="U144" s="30"/>
      <c r="V144" s="30"/>
      <c r="W144" s="30"/>
    </row>
    <row r="145" customFormat="false" ht="69" hidden="false" customHeight="true" outlineLevel="0" collapsed="false">
      <c r="A145" s="23"/>
      <c r="B145" s="24" t="n">
        <v>46195</v>
      </c>
      <c r="C145" s="25"/>
      <c r="D145" s="26"/>
      <c r="E145" s="26"/>
      <c r="F145" s="22" t="n">
        <f aca="false">(D145-E145)*0.25</f>
        <v>-0</v>
      </c>
      <c r="G145" s="22" t="n">
        <f aca="false">(D145-E145)-F145</f>
        <v>0</v>
      </c>
      <c r="H145" s="27"/>
      <c r="I145" s="27"/>
      <c r="J145" s="28" t="n">
        <f aca="false">SUM(I145-H145)/10</f>
        <v>0</v>
      </c>
      <c r="K145" s="39"/>
      <c r="L145" s="29" t="str">
        <f aca="false">IF(AND(K145=0,J145=0),"",K145/J145)</f>
        <v/>
      </c>
      <c r="M145" s="30"/>
      <c r="N145" s="31"/>
      <c r="O145" s="30"/>
      <c r="P145" s="30"/>
      <c r="Q145" s="33"/>
      <c r="R145" s="30"/>
      <c r="S145" s="30"/>
      <c r="T145" s="30"/>
      <c r="U145" s="30"/>
      <c r="V145" s="30"/>
      <c r="W145" s="30"/>
    </row>
    <row r="146" customFormat="false" ht="69" hidden="false" customHeight="true" outlineLevel="0" collapsed="false">
      <c r="A146" s="23"/>
      <c r="B146" s="24" t="n">
        <v>46196</v>
      </c>
      <c r="C146" s="25"/>
      <c r="D146" s="26"/>
      <c r="E146" s="26"/>
      <c r="F146" s="22" t="n">
        <f aca="false">(D146-E146)*0.25</f>
        <v>-0</v>
      </c>
      <c r="G146" s="22" t="n">
        <f aca="false">(D146-E146)-F146</f>
        <v>0</v>
      </c>
      <c r="H146" s="27"/>
      <c r="I146" s="27"/>
      <c r="J146" s="28" t="n">
        <f aca="false">SUM(I146-H146)/10</f>
        <v>0</v>
      </c>
      <c r="K146" s="39"/>
      <c r="L146" s="29" t="str">
        <f aca="false">IF(AND(K146=0,J146=0),"",K146/J146)</f>
        <v/>
      </c>
      <c r="M146" s="30"/>
      <c r="N146" s="31"/>
      <c r="O146" s="30"/>
      <c r="P146" s="30"/>
      <c r="Q146" s="33"/>
      <c r="R146" s="30"/>
      <c r="S146" s="30"/>
      <c r="T146" s="30"/>
      <c r="U146" s="30"/>
      <c r="V146" s="30"/>
      <c r="W146" s="30"/>
    </row>
    <row r="147" customFormat="false" ht="69" hidden="false" customHeight="true" outlineLevel="0" collapsed="false">
      <c r="A147" s="23"/>
      <c r="B147" s="24" t="n">
        <v>46197</v>
      </c>
      <c r="C147" s="25"/>
      <c r="D147" s="26"/>
      <c r="E147" s="26"/>
      <c r="F147" s="22" t="n">
        <f aca="false">(D147-E147)*0.25</f>
        <v>-0</v>
      </c>
      <c r="G147" s="22" t="n">
        <f aca="false">(D147-E147)-F147</f>
        <v>0</v>
      </c>
      <c r="H147" s="27"/>
      <c r="I147" s="27"/>
      <c r="J147" s="28" t="n">
        <f aca="false">SUM(I147-H147)/10</f>
        <v>0</v>
      </c>
      <c r="K147" s="39"/>
      <c r="L147" s="29" t="str">
        <f aca="false">IF(AND(K147=0,J147=0),"",K147/J147)</f>
        <v/>
      </c>
      <c r="M147" s="30"/>
      <c r="N147" s="31"/>
      <c r="O147" s="30"/>
      <c r="P147" s="30"/>
      <c r="Q147" s="33"/>
      <c r="R147" s="30"/>
      <c r="S147" s="30"/>
      <c r="T147" s="30"/>
      <c r="U147" s="30"/>
      <c r="V147" s="30"/>
      <c r="W147" s="30"/>
    </row>
    <row r="148" customFormat="false" ht="69" hidden="false" customHeight="true" outlineLevel="0" collapsed="false">
      <c r="A148" s="23"/>
      <c r="B148" s="24" t="n">
        <v>46198</v>
      </c>
      <c r="C148" s="25"/>
      <c r="D148" s="26"/>
      <c r="E148" s="26"/>
      <c r="F148" s="22" t="n">
        <f aca="false">(D148-E148)*0.25</f>
        <v>-0</v>
      </c>
      <c r="G148" s="22" t="n">
        <f aca="false">(D148-E148)-F148</f>
        <v>0</v>
      </c>
      <c r="H148" s="27"/>
      <c r="I148" s="27"/>
      <c r="J148" s="28" t="n">
        <f aca="false">SUM(I148-H148)/10</f>
        <v>0</v>
      </c>
      <c r="K148" s="39"/>
      <c r="L148" s="29" t="str">
        <f aca="false">IF(AND(K148=0,J148=0),"",K148/J148)</f>
        <v/>
      </c>
      <c r="M148" s="30"/>
      <c r="N148" s="31"/>
      <c r="O148" s="30"/>
      <c r="P148" s="30"/>
      <c r="Q148" s="33"/>
      <c r="R148" s="30"/>
      <c r="S148" s="30"/>
      <c r="T148" s="30"/>
      <c r="U148" s="30"/>
      <c r="V148" s="30"/>
      <c r="W148" s="30"/>
    </row>
    <row r="149" customFormat="false" ht="69" hidden="false" customHeight="true" outlineLevel="0" collapsed="false">
      <c r="A149" s="23"/>
      <c r="B149" s="24" t="n">
        <v>46199</v>
      </c>
      <c r="C149" s="25"/>
      <c r="D149" s="26"/>
      <c r="E149" s="26"/>
      <c r="F149" s="22" t="n">
        <f aca="false">(D149-E149)*0.25</f>
        <v>-0</v>
      </c>
      <c r="G149" s="22" t="n">
        <f aca="false">(D149-E149)-F149</f>
        <v>0</v>
      </c>
      <c r="H149" s="27"/>
      <c r="I149" s="27"/>
      <c r="J149" s="28" t="n">
        <f aca="false">SUM(I149-H149)/10</f>
        <v>0</v>
      </c>
      <c r="K149" s="39"/>
      <c r="L149" s="29" t="str">
        <f aca="false">IF(AND(K149=0,J149=0),"",K149/J149)</f>
        <v/>
      </c>
      <c r="M149" s="30"/>
      <c r="N149" s="31"/>
      <c r="O149" s="30"/>
      <c r="P149" s="30"/>
      <c r="Q149" s="33"/>
      <c r="R149" s="30"/>
      <c r="S149" s="30"/>
      <c r="T149" s="30"/>
      <c r="U149" s="30"/>
      <c r="V149" s="30"/>
      <c r="W149" s="30"/>
    </row>
    <row r="150" customFormat="false" ht="69" hidden="false" customHeight="true" outlineLevel="0" collapsed="false">
      <c r="A150" s="23"/>
      <c r="B150" s="24" t="n">
        <v>46200</v>
      </c>
      <c r="C150" s="25"/>
      <c r="D150" s="26"/>
      <c r="E150" s="26"/>
      <c r="F150" s="22" t="n">
        <f aca="false">(D150-E150)*0.25</f>
        <v>-0</v>
      </c>
      <c r="G150" s="22" t="n">
        <f aca="false">(D150-E150)-F150</f>
        <v>0</v>
      </c>
      <c r="H150" s="27"/>
      <c r="I150" s="27"/>
      <c r="J150" s="28" t="n">
        <f aca="false">SUM(I150-H150)/10</f>
        <v>0</v>
      </c>
      <c r="K150" s="39"/>
      <c r="L150" s="29" t="str">
        <f aca="false">IF(AND(K150=0,J150=0),"",K150/J150)</f>
        <v/>
      </c>
      <c r="M150" s="30"/>
      <c r="N150" s="31"/>
      <c r="O150" s="30"/>
      <c r="P150" s="30"/>
      <c r="Q150" s="33"/>
      <c r="R150" s="30"/>
      <c r="S150" s="30"/>
      <c r="T150" s="30"/>
      <c r="U150" s="30"/>
      <c r="V150" s="30"/>
      <c r="W150" s="30"/>
    </row>
    <row r="151" customFormat="false" ht="69" hidden="false" customHeight="true" outlineLevel="0" collapsed="false">
      <c r="A151" s="23"/>
      <c r="B151" s="24" t="n">
        <v>46201</v>
      </c>
      <c r="C151" s="25"/>
      <c r="D151" s="26"/>
      <c r="E151" s="26"/>
      <c r="F151" s="22" t="n">
        <f aca="false">(D151-E151)*0.25</f>
        <v>-0</v>
      </c>
      <c r="G151" s="22" t="n">
        <f aca="false">(D151-E151)-F151</f>
        <v>0</v>
      </c>
      <c r="H151" s="27"/>
      <c r="I151" s="27"/>
      <c r="J151" s="28" t="n">
        <f aca="false">SUM(I151-H151)/10</f>
        <v>0</v>
      </c>
      <c r="K151" s="39"/>
      <c r="L151" s="29" t="str">
        <f aca="false">IF(AND(K151=0,J151=0),"",K151/J151)</f>
        <v/>
      </c>
      <c r="M151" s="30"/>
      <c r="N151" s="31"/>
      <c r="O151" s="30"/>
      <c r="P151" s="30"/>
      <c r="Q151" s="33"/>
      <c r="R151" s="30"/>
      <c r="S151" s="30"/>
      <c r="T151" s="30"/>
      <c r="U151" s="30"/>
      <c r="V151" s="30"/>
      <c r="W151" s="30"/>
    </row>
    <row r="152" customFormat="false" ht="69" hidden="false" customHeight="true" outlineLevel="0" collapsed="false">
      <c r="A152" s="23"/>
      <c r="B152" s="24" t="n">
        <v>46202</v>
      </c>
      <c r="C152" s="25"/>
      <c r="D152" s="26"/>
      <c r="E152" s="26"/>
      <c r="F152" s="22" t="n">
        <f aca="false">(D152-E152)*0.25</f>
        <v>-0</v>
      </c>
      <c r="G152" s="22" t="n">
        <f aca="false">(D152-E152)-F152</f>
        <v>0</v>
      </c>
      <c r="H152" s="27"/>
      <c r="I152" s="27"/>
      <c r="J152" s="28" t="n">
        <f aca="false">SUM(I152-H152)/10</f>
        <v>0</v>
      </c>
      <c r="K152" s="39"/>
      <c r="L152" s="29" t="str">
        <f aca="false">IF(AND(K152=0,J152=0),"",K152/J152)</f>
        <v/>
      </c>
      <c r="M152" s="30"/>
      <c r="N152" s="31"/>
      <c r="O152" s="30"/>
      <c r="P152" s="30"/>
      <c r="Q152" s="33"/>
      <c r="R152" s="30"/>
      <c r="S152" s="30"/>
      <c r="T152" s="30"/>
      <c r="U152" s="30"/>
      <c r="V152" s="30"/>
      <c r="W152" s="30"/>
    </row>
    <row r="153" customFormat="false" ht="69" hidden="false" customHeight="true" outlineLevel="0" collapsed="false">
      <c r="A153" s="23"/>
      <c r="B153" s="24" t="n">
        <v>46203</v>
      </c>
      <c r="C153" s="25"/>
      <c r="D153" s="26"/>
      <c r="E153" s="26"/>
      <c r="F153" s="22" t="n">
        <f aca="false">(D153-E153)*0.25</f>
        <v>-0</v>
      </c>
      <c r="G153" s="22" t="n">
        <f aca="false">(D153-E153)-F153</f>
        <v>0</v>
      </c>
      <c r="H153" s="27"/>
      <c r="I153" s="27"/>
      <c r="J153" s="28" t="n">
        <f aca="false">SUM(I153-H153)/10</f>
        <v>0</v>
      </c>
      <c r="K153" s="39"/>
      <c r="L153" s="29" t="str">
        <f aca="false">IF(AND(K153=0,J153=0),"",K153/J153)</f>
        <v/>
      </c>
      <c r="M153" s="30"/>
      <c r="N153" s="31"/>
      <c r="O153" s="30"/>
      <c r="P153" s="30"/>
      <c r="Q153" s="33"/>
      <c r="R153" s="30"/>
      <c r="S153" s="30"/>
      <c r="T153" s="30"/>
      <c r="U153" s="30"/>
      <c r="V153" s="30"/>
      <c r="W153" s="30"/>
    </row>
    <row r="154" customFormat="false" ht="69" hidden="false" customHeight="true" outlineLevel="0" collapsed="false">
      <c r="A154" s="23"/>
      <c r="B154" s="24" t="n">
        <v>46204</v>
      </c>
      <c r="C154" s="25"/>
      <c r="D154" s="26"/>
      <c r="E154" s="26"/>
      <c r="F154" s="22" t="n">
        <f aca="false">(D154-E154)*0.25</f>
        <v>-0</v>
      </c>
      <c r="G154" s="22" t="n">
        <f aca="false">(D154-E154)-F154</f>
        <v>0</v>
      </c>
      <c r="H154" s="27"/>
      <c r="I154" s="27"/>
      <c r="J154" s="28" t="n">
        <f aca="false">SUM(I154-H154)/10</f>
        <v>0</v>
      </c>
      <c r="K154" s="39"/>
      <c r="L154" s="29" t="str">
        <f aca="false">IF(AND(K154=0,J154=0),"",K154/J154)</f>
        <v/>
      </c>
      <c r="M154" s="30"/>
      <c r="N154" s="31"/>
      <c r="O154" s="30"/>
      <c r="P154" s="30"/>
      <c r="Q154" s="33"/>
      <c r="R154" s="30"/>
      <c r="S154" s="30"/>
      <c r="T154" s="30"/>
      <c r="U154" s="30"/>
      <c r="V154" s="30"/>
      <c r="W154" s="30"/>
    </row>
    <row r="155" customFormat="false" ht="69" hidden="false" customHeight="true" outlineLevel="0" collapsed="false">
      <c r="A155" s="23"/>
      <c r="B155" s="24" t="n">
        <v>46205</v>
      </c>
      <c r="C155" s="25"/>
      <c r="D155" s="26"/>
      <c r="E155" s="26"/>
      <c r="F155" s="22" t="n">
        <f aca="false">(D155-E155)*0.25</f>
        <v>-0</v>
      </c>
      <c r="G155" s="22" t="n">
        <f aca="false">(D155-E155)-F155</f>
        <v>0</v>
      </c>
      <c r="H155" s="27"/>
      <c r="I155" s="27"/>
      <c r="J155" s="28" t="n">
        <f aca="false">SUM(I155-H155)/10</f>
        <v>0</v>
      </c>
      <c r="K155" s="39"/>
      <c r="L155" s="29" t="str">
        <f aca="false">IF(AND(K155=0,J155=0),"",K155/J155)</f>
        <v/>
      </c>
      <c r="M155" s="30"/>
      <c r="N155" s="31"/>
      <c r="O155" s="30"/>
      <c r="P155" s="30"/>
      <c r="Q155" s="33"/>
      <c r="R155" s="30"/>
      <c r="S155" s="30"/>
      <c r="T155" s="30"/>
      <c r="U155" s="30"/>
      <c r="V155" s="30"/>
      <c r="W155" s="30"/>
    </row>
    <row r="156" customFormat="false" ht="69" hidden="false" customHeight="true" outlineLevel="0" collapsed="false">
      <c r="A156" s="23"/>
      <c r="B156" s="24" t="n">
        <v>46206</v>
      </c>
      <c r="C156" s="25"/>
      <c r="D156" s="26"/>
      <c r="E156" s="26"/>
      <c r="F156" s="22" t="n">
        <f aca="false">(D156-E156)*0.25</f>
        <v>-0</v>
      </c>
      <c r="G156" s="22" t="n">
        <f aca="false">(D156-E156)-F156</f>
        <v>0</v>
      </c>
      <c r="H156" s="27"/>
      <c r="I156" s="27"/>
      <c r="J156" s="28" t="n">
        <f aca="false">SUM(I156-H156)/10</f>
        <v>0</v>
      </c>
      <c r="K156" s="39"/>
      <c r="L156" s="29" t="str">
        <f aca="false">IF(AND(K156=0,J156=0),"",K156/J156)</f>
        <v/>
      </c>
      <c r="M156" s="30"/>
      <c r="N156" s="31"/>
      <c r="O156" s="30"/>
      <c r="P156" s="30"/>
      <c r="Q156" s="33"/>
      <c r="R156" s="30"/>
      <c r="S156" s="30"/>
      <c r="T156" s="30"/>
      <c r="U156" s="30"/>
      <c r="V156" s="30"/>
      <c r="W156" s="30"/>
    </row>
    <row r="157" customFormat="false" ht="69" hidden="false" customHeight="true" outlineLevel="0" collapsed="false">
      <c r="A157" s="23"/>
      <c r="B157" s="24" t="n">
        <v>46207</v>
      </c>
      <c r="C157" s="25"/>
      <c r="D157" s="26"/>
      <c r="E157" s="26"/>
      <c r="F157" s="22" t="n">
        <f aca="false">(D157-E157)*0.25</f>
        <v>-0</v>
      </c>
      <c r="G157" s="22" t="n">
        <f aca="false">(D157-E157)-F157</f>
        <v>0</v>
      </c>
      <c r="H157" s="27"/>
      <c r="I157" s="27"/>
      <c r="J157" s="28" t="n">
        <f aca="false">SUM(I157-H157)/10</f>
        <v>0</v>
      </c>
      <c r="K157" s="39"/>
      <c r="L157" s="29" t="str">
        <f aca="false">IF(AND(K157=0,J157=0),"",K157/J157)</f>
        <v/>
      </c>
      <c r="M157" s="30"/>
      <c r="N157" s="31"/>
      <c r="O157" s="30"/>
      <c r="P157" s="30"/>
      <c r="Q157" s="33"/>
      <c r="R157" s="30"/>
      <c r="S157" s="30"/>
      <c r="T157" s="30"/>
      <c r="U157" s="30"/>
      <c r="V157" s="30"/>
      <c r="W157" s="30"/>
    </row>
    <row r="158" customFormat="false" ht="69" hidden="false" customHeight="true" outlineLevel="0" collapsed="false">
      <c r="A158" s="23"/>
      <c r="B158" s="24" t="n">
        <v>46208</v>
      </c>
      <c r="C158" s="25"/>
      <c r="D158" s="26"/>
      <c r="E158" s="26"/>
      <c r="F158" s="22" t="n">
        <f aca="false">(D158-E158)*0.25</f>
        <v>-0</v>
      </c>
      <c r="G158" s="22" t="n">
        <f aca="false">(D158-E158)-F158</f>
        <v>0</v>
      </c>
      <c r="H158" s="27"/>
      <c r="I158" s="27"/>
      <c r="J158" s="28" t="n">
        <f aca="false">SUM(I158-H158)/10</f>
        <v>0</v>
      </c>
      <c r="K158" s="39"/>
      <c r="L158" s="29" t="str">
        <f aca="false">IF(AND(K158=0,J158=0),"",K158/J158)</f>
        <v/>
      </c>
      <c r="M158" s="30"/>
      <c r="N158" s="31"/>
      <c r="O158" s="30"/>
      <c r="P158" s="30"/>
      <c r="Q158" s="33"/>
      <c r="R158" s="30"/>
      <c r="S158" s="30"/>
      <c r="T158" s="30"/>
      <c r="U158" s="30"/>
      <c r="V158" s="30"/>
      <c r="W158" s="30"/>
    </row>
    <row r="159" customFormat="false" ht="69" hidden="false" customHeight="true" outlineLevel="0" collapsed="false">
      <c r="A159" s="23"/>
      <c r="B159" s="24" t="n">
        <v>46209</v>
      </c>
      <c r="C159" s="25"/>
      <c r="D159" s="26"/>
      <c r="E159" s="26"/>
      <c r="F159" s="22" t="n">
        <f aca="false">(D159-E159)*0.25</f>
        <v>-0</v>
      </c>
      <c r="G159" s="22" t="n">
        <f aca="false">(D159-E159)-F159</f>
        <v>0</v>
      </c>
      <c r="H159" s="27"/>
      <c r="I159" s="27"/>
      <c r="J159" s="28" t="n">
        <f aca="false">SUM(I159-H159)/10</f>
        <v>0</v>
      </c>
      <c r="K159" s="39"/>
      <c r="L159" s="29" t="str">
        <f aca="false">IF(AND(K159=0,J159=0),"",K159/J159)</f>
        <v/>
      </c>
      <c r="M159" s="30"/>
      <c r="N159" s="31"/>
      <c r="O159" s="30"/>
      <c r="P159" s="30"/>
      <c r="Q159" s="33"/>
      <c r="R159" s="30"/>
      <c r="S159" s="30"/>
      <c r="T159" s="30"/>
      <c r="U159" s="30"/>
      <c r="V159" s="30"/>
      <c r="W159" s="30"/>
    </row>
    <row r="160" customFormat="false" ht="69" hidden="false" customHeight="true" outlineLevel="0" collapsed="false">
      <c r="A160" s="23"/>
      <c r="B160" s="24" t="n">
        <v>46210</v>
      </c>
      <c r="C160" s="25"/>
      <c r="D160" s="26"/>
      <c r="E160" s="26"/>
      <c r="F160" s="22" t="n">
        <f aca="false">(D160-E160)*0.25</f>
        <v>-0</v>
      </c>
      <c r="G160" s="22" t="n">
        <f aca="false">(D160-E160)-F160</f>
        <v>0</v>
      </c>
      <c r="H160" s="27"/>
      <c r="I160" s="27"/>
      <c r="J160" s="28" t="n">
        <f aca="false">SUM(I160-H160)/10</f>
        <v>0</v>
      </c>
      <c r="K160" s="39"/>
      <c r="L160" s="29" t="str">
        <f aca="false">IF(AND(K160=0,J160=0),"",K160/J160)</f>
        <v/>
      </c>
      <c r="M160" s="30"/>
      <c r="N160" s="31"/>
      <c r="O160" s="30"/>
      <c r="P160" s="30"/>
      <c r="Q160" s="33"/>
      <c r="R160" s="30"/>
      <c r="S160" s="30"/>
      <c r="T160" s="30"/>
      <c r="U160" s="30"/>
      <c r="V160" s="30"/>
      <c r="W160" s="30"/>
    </row>
    <row r="161" customFormat="false" ht="69" hidden="false" customHeight="true" outlineLevel="0" collapsed="false">
      <c r="A161" s="23"/>
      <c r="B161" s="24" t="n">
        <v>46211</v>
      </c>
      <c r="C161" s="25"/>
      <c r="D161" s="26"/>
      <c r="E161" s="26"/>
      <c r="F161" s="22" t="n">
        <f aca="false">(D161-E161)*0.25</f>
        <v>-0</v>
      </c>
      <c r="G161" s="22" t="n">
        <f aca="false">(D161-E161)-F161</f>
        <v>0</v>
      </c>
      <c r="H161" s="27"/>
      <c r="I161" s="27"/>
      <c r="J161" s="28" t="n">
        <f aca="false">SUM(I161-H161)/10</f>
        <v>0</v>
      </c>
      <c r="K161" s="39"/>
      <c r="L161" s="29" t="str">
        <f aca="false">IF(AND(K161=0,J161=0),"",K161/J161)</f>
        <v/>
      </c>
      <c r="M161" s="30"/>
      <c r="N161" s="31"/>
      <c r="O161" s="30"/>
      <c r="P161" s="30"/>
      <c r="Q161" s="33"/>
      <c r="R161" s="30"/>
      <c r="S161" s="30"/>
      <c r="T161" s="30"/>
      <c r="U161" s="30"/>
      <c r="V161" s="30"/>
      <c r="W161" s="30"/>
    </row>
    <row r="162" customFormat="false" ht="69" hidden="false" customHeight="true" outlineLevel="0" collapsed="false">
      <c r="A162" s="23"/>
      <c r="B162" s="24" t="n">
        <v>46212</v>
      </c>
      <c r="C162" s="25"/>
      <c r="D162" s="26"/>
      <c r="E162" s="26"/>
      <c r="F162" s="22" t="n">
        <f aca="false">(D162-E162)*0.25</f>
        <v>-0</v>
      </c>
      <c r="G162" s="22" t="n">
        <f aca="false">(D162-E162)-F162</f>
        <v>0</v>
      </c>
      <c r="H162" s="27"/>
      <c r="I162" s="27"/>
      <c r="J162" s="28" t="n">
        <f aca="false">SUM(I162-H162)/10</f>
        <v>0</v>
      </c>
      <c r="K162" s="39"/>
      <c r="L162" s="29" t="str">
        <f aca="false">IF(AND(K162=0,J162=0),"",K162/J162)</f>
        <v/>
      </c>
      <c r="M162" s="30"/>
      <c r="N162" s="31"/>
      <c r="O162" s="30"/>
      <c r="P162" s="30"/>
      <c r="Q162" s="33"/>
      <c r="R162" s="30"/>
      <c r="S162" s="30"/>
      <c r="T162" s="30"/>
      <c r="U162" s="30"/>
      <c r="V162" s="30"/>
      <c r="W162" s="30"/>
    </row>
    <row r="163" customFormat="false" ht="69" hidden="false" customHeight="true" outlineLevel="0" collapsed="false">
      <c r="A163" s="23"/>
      <c r="B163" s="24" t="n">
        <v>46213</v>
      </c>
      <c r="C163" s="25"/>
      <c r="D163" s="26"/>
      <c r="E163" s="26"/>
      <c r="F163" s="22" t="n">
        <f aca="false">(D163-E163)*0.25</f>
        <v>-0</v>
      </c>
      <c r="G163" s="22" t="n">
        <f aca="false">(D163-E163)-F163</f>
        <v>0</v>
      </c>
      <c r="H163" s="27"/>
      <c r="I163" s="27"/>
      <c r="J163" s="28" t="n">
        <f aca="false">SUM(I163-H163)/10</f>
        <v>0</v>
      </c>
      <c r="K163" s="39"/>
      <c r="L163" s="29" t="str">
        <f aca="false">IF(AND(K163=0,J163=0),"",K163/J163)</f>
        <v/>
      </c>
      <c r="M163" s="30"/>
      <c r="N163" s="31"/>
      <c r="O163" s="30"/>
      <c r="P163" s="30"/>
      <c r="Q163" s="33"/>
      <c r="R163" s="30"/>
      <c r="S163" s="30"/>
      <c r="T163" s="30"/>
      <c r="U163" s="30"/>
      <c r="V163" s="30"/>
      <c r="W163" s="30"/>
    </row>
    <row r="164" customFormat="false" ht="69" hidden="false" customHeight="true" outlineLevel="0" collapsed="false">
      <c r="A164" s="23"/>
      <c r="B164" s="24" t="n">
        <v>46214</v>
      </c>
      <c r="C164" s="25"/>
      <c r="D164" s="26"/>
      <c r="E164" s="26"/>
      <c r="F164" s="22" t="n">
        <f aca="false">(D164-E164)*0.25</f>
        <v>-0</v>
      </c>
      <c r="G164" s="22" t="n">
        <f aca="false">(D164-E164)-F164</f>
        <v>0</v>
      </c>
      <c r="H164" s="27"/>
      <c r="I164" s="27"/>
      <c r="J164" s="28" t="n">
        <f aca="false">SUM(I164-H164)/10</f>
        <v>0</v>
      </c>
      <c r="K164" s="39"/>
      <c r="L164" s="29" t="str">
        <f aca="false">IF(AND(K164=0,J164=0),"",K164/J164)</f>
        <v/>
      </c>
      <c r="M164" s="30"/>
      <c r="N164" s="31"/>
      <c r="O164" s="30"/>
      <c r="P164" s="30"/>
      <c r="Q164" s="33"/>
      <c r="R164" s="30"/>
      <c r="S164" s="30"/>
      <c r="T164" s="30"/>
      <c r="U164" s="30"/>
      <c r="V164" s="30"/>
      <c r="W164" s="30"/>
    </row>
    <row r="165" customFormat="false" ht="69" hidden="false" customHeight="true" outlineLevel="0" collapsed="false">
      <c r="A165" s="23"/>
      <c r="B165" s="24" t="n">
        <v>46215</v>
      </c>
      <c r="C165" s="25"/>
      <c r="D165" s="26"/>
      <c r="E165" s="26"/>
      <c r="F165" s="22" t="n">
        <f aca="false">(D165-E165)*0.25</f>
        <v>-0</v>
      </c>
      <c r="G165" s="22" t="n">
        <f aca="false">(D165-E165)-F165</f>
        <v>0</v>
      </c>
      <c r="H165" s="27"/>
      <c r="I165" s="27"/>
      <c r="J165" s="28" t="n">
        <f aca="false">SUM(I165-H165)/10</f>
        <v>0</v>
      </c>
      <c r="K165" s="39"/>
      <c r="L165" s="29" t="str">
        <f aca="false">IF(AND(K165=0,J165=0),"",K165/J165)</f>
        <v/>
      </c>
      <c r="M165" s="30"/>
      <c r="N165" s="31"/>
      <c r="O165" s="30"/>
      <c r="P165" s="30"/>
      <c r="Q165" s="33"/>
      <c r="R165" s="30"/>
      <c r="S165" s="30"/>
      <c r="T165" s="30"/>
      <c r="U165" s="30"/>
      <c r="V165" s="30"/>
      <c r="W165" s="30"/>
    </row>
    <row r="166" customFormat="false" ht="69" hidden="false" customHeight="true" outlineLevel="0" collapsed="false">
      <c r="A166" s="23"/>
      <c r="B166" s="24" t="n">
        <v>46216</v>
      </c>
      <c r="C166" s="25"/>
      <c r="D166" s="26"/>
      <c r="E166" s="26"/>
      <c r="F166" s="22" t="n">
        <f aca="false">(D166-E166)*0.25</f>
        <v>-0</v>
      </c>
      <c r="G166" s="22" t="n">
        <f aca="false">(D166-E166)-F166</f>
        <v>0</v>
      </c>
      <c r="H166" s="27"/>
      <c r="I166" s="27"/>
      <c r="J166" s="28" t="n">
        <f aca="false">SUM(I166-H166)/10</f>
        <v>0</v>
      </c>
      <c r="K166" s="39"/>
      <c r="L166" s="29" t="str">
        <f aca="false">IF(AND(K166=0,J166=0),"",K166/J166)</f>
        <v/>
      </c>
      <c r="M166" s="30"/>
      <c r="N166" s="31"/>
      <c r="O166" s="30"/>
      <c r="P166" s="30"/>
      <c r="Q166" s="33"/>
      <c r="R166" s="30"/>
      <c r="S166" s="30"/>
      <c r="T166" s="30"/>
      <c r="U166" s="30"/>
      <c r="V166" s="30"/>
      <c r="W166" s="30"/>
    </row>
    <row r="167" customFormat="false" ht="69" hidden="false" customHeight="true" outlineLevel="0" collapsed="false">
      <c r="A167" s="23"/>
      <c r="B167" s="24" t="n">
        <v>46217</v>
      </c>
      <c r="C167" s="25"/>
      <c r="D167" s="26"/>
      <c r="E167" s="26"/>
      <c r="F167" s="22" t="n">
        <f aca="false">(D167-E167)*0.25</f>
        <v>-0</v>
      </c>
      <c r="G167" s="22" t="n">
        <f aca="false">(D167-E167)-F167</f>
        <v>0</v>
      </c>
      <c r="H167" s="27"/>
      <c r="I167" s="27"/>
      <c r="J167" s="28" t="n">
        <f aca="false">SUM(I167-H167)/10</f>
        <v>0</v>
      </c>
      <c r="K167" s="39"/>
      <c r="L167" s="29" t="str">
        <f aca="false">IF(AND(K167=0,J167=0),"",K167/J167)</f>
        <v/>
      </c>
      <c r="M167" s="30"/>
      <c r="N167" s="31"/>
      <c r="O167" s="30"/>
      <c r="P167" s="30"/>
      <c r="Q167" s="33"/>
      <c r="R167" s="30"/>
      <c r="S167" s="30"/>
      <c r="T167" s="30"/>
      <c r="U167" s="30"/>
      <c r="V167" s="30"/>
      <c r="W167" s="30"/>
    </row>
    <row r="168" customFormat="false" ht="69" hidden="false" customHeight="true" outlineLevel="0" collapsed="false">
      <c r="A168" s="23"/>
      <c r="B168" s="24" t="n">
        <v>46218</v>
      </c>
      <c r="C168" s="25"/>
      <c r="D168" s="26"/>
      <c r="E168" s="26"/>
      <c r="F168" s="22" t="n">
        <f aca="false">(D168-E168)*0.25</f>
        <v>-0</v>
      </c>
      <c r="G168" s="22" t="n">
        <f aca="false">(D168-E168)-F168</f>
        <v>0</v>
      </c>
      <c r="H168" s="27"/>
      <c r="I168" s="27"/>
      <c r="J168" s="28" t="n">
        <f aca="false">SUM(I168-H168)/10</f>
        <v>0</v>
      </c>
      <c r="K168" s="39"/>
      <c r="L168" s="29" t="str">
        <f aca="false">IF(AND(K168=0,J168=0),"",K168/J168)</f>
        <v/>
      </c>
      <c r="M168" s="30"/>
      <c r="N168" s="31"/>
      <c r="O168" s="30"/>
      <c r="P168" s="30"/>
      <c r="Q168" s="33"/>
      <c r="R168" s="30"/>
      <c r="S168" s="30"/>
      <c r="T168" s="30"/>
      <c r="U168" s="30"/>
      <c r="V168" s="30"/>
      <c r="W168" s="30"/>
    </row>
    <row r="169" customFormat="false" ht="69" hidden="false" customHeight="true" outlineLevel="0" collapsed="false">
      <c r="A169" s="23"/>
      <c r="B169" s="24" t="n">
        <v>46219</v>
      </c>
      <c r="C169" s="25"/>
      <c r="D169" s="26"/>
      <c r="E169" s="26"/>
      <c r="F169" s="22" t="n">
        <f aca="false">(D169-E169)*0.25</f>
        <v>-0</v>
      </c>
      <c r="G169" s="22" t="n">
        <f aca="false">(D169-E169)-F169</f>
        <v>0</v>
      </c>
      <c r="H169" s="27"/>
      <c r="I169" s="27"/>
      <c r="J169" s="28" t="n">
        <f aca="false">SUM(I169-H169)/10</f>
        <v>0</v>
      </c>
      <c r="K169" s="39"/>
      <c r="L169" s="29" t="str">
        <f aca="false">IF(AND(K169=0,J169=0),"",K169/J169)</f>
        <v/>
      </c>
      <c r="M169" s="30"/>
      <c r="N169" s="31"/>
      <c r="O169" s="30"/>
      <c r="P169" s="30"/>
      <c r="Q169" s="33"/>
      <c r="R169" s="30"/>
      <c r="S169" s="30"/>
      <c r="T169" s="30"/>
      <c r="U169" s="30"/>
      <c r="V169" s="30"/>
      <c r="W169" s="30"/>
    </row>
    <row r="170" customFormat="false" ht="69" hidden="false" customHeight="true" outlineLevel="0" collapsed="false">
      <c r="A170" s="23"/>
      <c r="B170" s="24" t="n">
        <v>46220</v>
      </c>
      <c r="C170" s="25"/>
      <c r="D170" s="26"/>
      <c r="E170" s="26"/>
      <c r="F170" s="22" t="n">
        <f aca="false">(D170-E170)*0.25</f>
        <v>-0</v>
      </c>
      <c r="G170" s="22" t="n">
        <f aca="false">(D170-E170)-F170</f>
        <v>0</v>
      </c>
      <c r="H170" s="27"/>
      <c r="I170" s="27"/>
      <c r="J170" s="28" t="n">
        <f aca="false">SUM(I170-H170)/10</f>
        <v>0</v>
      </c>
      <c r="K170" s="39"/>
      <c r="L170" s="29" t="str">
        <f aca="false">IF(AND(K170=0,J170=0),"",K170/J170)</f>
        <v/>
      </c>
      <c r="M170" s="30"/>
      <c r="N170" s="31"/>
      <c r="O170" s="30"/>
      <c r="P170" s="30"/>
      <c r="Q170" s="33"/>
      <c r="R170" s="30"/>
      <c r="S170" s="30"/>
      <c r="T170" s="30"/>
      <c r="U170" s="30"/>
      <c r="V170" s="30"/>
      <c r="W170" s="30"/>
    </row>
    <row r="171" customFormat="false" ht="69" hidden="false" customHeight="true" outlineLevel="0" collapsed="false">
      <c r="A171" s="23"/>
      <c r="B171" s="24" t="n">
        <v>46221</v>
      </c>
      <c r="C171" s="25"/>
      <c r="D171" s="26"/>
      <c r="E171" s="26"/>
      <c r="F171" s="22" t="n">
        <f aca="false">(D171-E171)*0.25</f>
        <v>-0</v>
      </c>
      <c r="G171" s="22" t="n">
        <f aca="false">(D171-E171)-F171</f>
        <v>0</v>
      </c>
      <c r="H171" s="27"/>
      <c r="I171" s="27"/>
      <c r="J171" s="28" t="n">
        <f aca="false">SUM(I171-H171)/10</f>
        <v>0</v>
      </c>
      <c r="K171" s="39"/>
      <c r="L171" s="29" t="str">
        <f aca="false">IF(AND(K171=0,J171=0),"",K171/J171)</f>
        <v/>
      </c>
      <c r="M171" s="30"/>
      <c r="N171" s="31"/>
      <c r="O171" s="30"/>
      <c r="P171" s="30"/>
      <c r="Q171" s="33"/>
      <c r="R171" s="30"/>
      <c r="S171" s="30"/>
      <c r="T171" s="30"/>
      <c r="U171" s="30"/>
      <c r="V171" s="30"/>
      <c r="W171" s="30"/>
    </row>
    <row r="172" customFormat="false" ht="69" hidden="false" customHeight="true" outlineLevel="0" collapsed="false">
      <c r="A172" s="23"/>
      <c r="B172" s="24" t="n">
        <v>46222</v>
      </c>
      <c r="C172" s="25"/>
      <c r="D172" s="26"/>
      <c r="E172" s="26"/>
      <c r="F172" s="22" t="n">
        <f aca="false">(D172-E172)*0.25</f>
        <v>-0</v>
      </c>
      <c r="G172" s="22" t="n">
        <f aca="false">(D172-E172)-F172</f>
        <v>0</v>
      </c>
      <c r="H172" s="27"/>
      <c r="I172" s="27"/>
      <c r="J172" s="28" t="n">
        <f aca="false">SUM(I172-H172)/10</f>
        <v>0</v>
      </c>
      <c r="K172" s="39"/>
      <c r="L172" s="29" t="str">
        <f aca="false">IF(AND(K172=0,J172=0),"",K172/J172)</f>
        <v/>
      </c>
      <c r="M172" s="30"/>
      <c r="N172" s="31"/>
      <c r="O172" s="30"/>
      <c r="P172" s="30"/>
      <c r="Q172" s="33"/>
      <c r="R172" s="30"/>
      <c r="S172" s="30"/>
      <c r="T172" s="30"/>
      <c r="U172" s="30"/>
      <c r="V172" s="30"/>
      <c r="W172" s="30"/>
    </row>
    <row r="173" customFormat="false" ht="69" hidden="false" customHeight="true" outlineLevel="0" collapsed="false">
      <c r="A173" s="23"/>
      <c r="B173" s="24" t="n">
        <v>46223</v>
      </c>
      <c r="C173" s="25"/>
      <c r="D173" s="26"/>
      <c r="E173" s="26"/>
      <c r="F173" s="22" t="n">
        <f aca="false">(D173-E173)*0.25</f>
        <v>-0</v>
      </c>
      <c r="G173" s="22" t="n">
        <f aca="false">(D173-E173)-F173</f>
        <v>0</v>
      </c>
      <c r="H173" s="27"/>
      <c r="I173" s="27"/>
      <c r="J173" s="28" t="n">
        <f aca="false">SUM(I173-H173)/10</f>
        <v>0</v>
      </c>
      <c r="K173" s="39"/>
      <c r="L173" s="29" t="str">
        <f aca="false">IF(AND(K173=0,J173=0),"",K173/J173)</f>
        <v/>
      </c>
      <c r="M173" s="30"/>
      <c r="N173" s="31"/>
      <c r="O173" s="30"/>
      <c r="P173" s="30"/>
      <c r="Q173" s="33"/>
      <c r="R173" s="30"/>
      <c r="S173" s="30"/>
      <c r="T173" s="30"/>
      <c r="U173" s="30"/>
      <c r="V173" s="30"/>
      <c r="W173" s="30"/>
    </row>
    <row r="174" customFormat="false" ht="69" hidden="false" customHeight="true" outlineLevel="0" collapsed="false">
      <c r="A174" s="23"/>
      <c r="B174" s="24" t="n">
        <v>46224</v>
      </c>
      <c r="C174" s="25"/>
      <c r="D174" s="26"/>
      <c r="E174" s="26"/>
      <c r="F174" s="22" t="n">
        <f aca="false">(D174-E174)*0.25</f>
        <v>-0</v>
      </c>
      <c r="G174" s="22" t="n">
        <f aca="false">(D174-E174)-F174</f>
        <v>0</v>
      </c>
      <c r="H174" s="27"/>
      <c r="I174" s="27"/>
      <c r="J174" s="28" t="n">
        <f aca="false">SUM(I174-H174)/10</f>
        <v>0</v>
      </c>
      <c r="K174" s="39"/>
      <c r="L174" s="29" t="str">
        <f aca="false">IF(AND(K174=0,J174=0),"",K174/J174)</f>
        <v/>
      </c>
      <c r="M174" s="30"/>
      <c r="N174" s="31"/>
      <c r="O174" s="30"/>
      <c r="P174" s="30"/>
      <c r="Q174" s="33"/>
      <c r="R174" s="30"/>
      <c r="S174" s="30"/>
      <c r="T174" s="30"/>
      <c r="U174" s="30"/>
      <c r="V174" s="30"/>
      <c r="W174" s="30"/>
    </row>
    <row r="175" customFormat="false" ht="69" hidden="false" customHeight="true" outlineLevel="0" collapsed="false">
      <c r="A175" s="23"/>
      <c r="B175" s="24" t="n">
        <v>46225</v>
      </c>
      <c r="C175" s="25"/>
      <c r="D175" s="26"/>
      <c r="E175" s="26"/>
      <c r="F175" s="22" t="n">
        <f aca="false">(D175-E175)*0.25</f>
        <v>-0</v>
      </c>
      <c r="G175" s="22" t="n">
        <f aca="false">(D175-E175)-F175</f>
        <v>0</v>
      </c>
      <c r="H175" s="27"/>
      <c r="I175" s="27"/>
      <c r="J175" s="28" t="n">
        <f aca="false">SUM(I175-H175)/10</f>
        <v>0</v>
      </c>
      <c r="K175" s="39"/>
      <c r="L175" s="29" t="str">
        <f aca="false">IF(AND(K175=0,J175=0),"",K175/J175)</f>
        <v/>
      </c>
      <c r="M175" s="30"/>
      <c r="N175" s="31"/>
      <c r="O175" s="30"/>
      <c r="P175" s="30"/>
      <c r="Q175" s="33"/>
      <c r="R175" s="30"/>
      <c r="S175" s="30"/>
      <c r="T175" s="30"/>
      <c r="U175" s="30"/>
      <c r="V175" s="30"/>
      <c r="W175" s="30"/>
    </row>
    <row r="176" customFormat="false" ht="69" hidden="false" customHeight="true" outlineLevel="0" collapsed="false">
      <c r="A176" s="23"/>
      <c r="B176" s="24" t="n">
        <v>46226</v>
      </c>
      <c r="C176" s="25"/>
      <c r="D176" s="26"/>
      <c r="E176" s="26"/>
      <c r="F176" s="22" t="n">
        <f aca="false">(D176-E176)*0.25</f>
        <v>-0</v>
      </c>
      <c r="G176" s="22" t="n">
        <f aca="false">(D176-E176)-F176</f>
        <v>0</v>
      </c>
      <c r="H176" s="27"/>
      <c r="I176" s="27"/>
      <c r="J176" s="28" t="n">
        <f aca="false">SUM(I176-H176)/10</f>
        <v>0</v>
      </c>
      <c r="K176" s="39"/>
      <c r="L176" s="29" t="str">
        <f aca="false">IF(AND(K176=0,J176=0),"",K176/J176)</f>
        <v/>
      </c>
      <c r="M176" s="30"/>
      <c r="N176" s="31"/>
      <c r="O176" s="30"/>
      <c r="P176" s="30"/>
      <c r="Q176" s="33"/>
      <c r="R176" s="30"/>
      <c r="S176" s="30"/>
      <c r="T176" s="30"/>
      <c r="U176" s="30"/>
      <c r="V176" s="30"/>
      <c r="W176" s="30"/>
    </row>
    <row r="177" customFormat="false" ht="69" hidden="false" customHeight="true" outlineLevel="0" collapsed="false">
      <c r="A177" s="23"/>
      <c r="B177" s="24" t="n">
        <v>46227</v>
      </c>
      <c r="C177" s="25"/>
      <c r="D177" s="26"/>
      <c r="E177" s="26"/>
      <c r="F177" s="22" t="n">
        <f aca="false">(D177-E177)*0.25</f>
        <v>-0</v>
      </c>
      <c r="G177" s="22" t="n">
        <f aca="false">(D177-E177)-F177</f>
        <v>0</v>
      </c>
      <c r="H177" s="27"/>
      <c r="I177" s="27"/>
      <c r="J177" s="28" t="n">
        <f aca="false">SUM(I177-H177)/10</f>
        <v>0</v>
      </c>
      <c r="K177" s="39"/>
      <c r="L177" s="29" t="str">
        <f aca="false">IF(AND(K177=0,J177=0),"",K177/J177)</f>
        <v/>
      </c>
      <c r="M177" s="30"/>
      <c r="N177" s="31"/>
      <c r="O177" s="30"/>
      <c r="P177" s="30"/>
      <c r="Q177" s="33"/>
      <c r="R177" s="30"/>
      <c r="S177" s="30"/>
      <c r="T177" s="30"/>
      <c r="U177" s="30"/>
      <c r="V177" s="30"/>
      <c r="W177" s="30"/>
    </row>
    <row r="178" customFormat="false" ht="69" hidden="false" customHeight="true" outlineLevel="0" collapsed="false">
      <c r="A178" s="23"/>
      <c r="B178" s="24" t="n">
        <v>46228</v>
      </c>
      <c r="C178" s="25"/>
      <c r="D178" s="26"/>
      <c r="E178" s="26"/>
      <c r="F178" s="22" t="n">
        <f aca="false">(D178-E178)*0.25</f>
        <v>-0</v>
      </c>
      <c r="G178" s="22" t="n">
        <f aca="false">(D178-E178)-F178</f>
        <v>0</v>
      </c>
      <c r="H178" s="27"/>
      <c r="I178" s="27"/>
      <c r="J178" s="28" t="n">
        <f aca="false">SUM(I178-H178)/10</f>
        <v>0</v>
      </c>
      <c r="K178" s="39"/>
      <c r="L178" s="29" t="str">
        <f aca="false">IF(AND(K178=0,J178=0),"",K178/J178)</f>
        <v/>
      </c>
      <c r="M178" s="30"/>
      <c r="N178" s="31"/>
      <c r="O178" s="30"/>
      <c r="P178" s="30"/>
      <c r="Q178" s="33"/>
      <c r="R178" s="30"/>
      <c r="S178" s="30"/>
      <c r="T178" s="30"/>
      <c r="U178" s="30"/>
      <c r="V178" s="30"/>
      <c r="W178" s="30"/>
    </row>
    <row r="179" customFormat="false" ht="69" hidden="false" customHeight="true" outlineLevel="0" collapsed="false">
      <c r="A179" s="23"/>
      <c r="B179" s="24" t="n">
        <v>46229</v>
      </c>
      <c r="C179" s="25"/>
      <c r="D179" s="26"/>
      <c r="E179" s="26"/>
      <c r="F179" s="22" t="n">
        <f aca="false">(D179-E179)*0.25</f>
        <v>-0</v>
      </c>
      <c r="G179" s="22" t="n">
        <f aca="false">(D179-E179)-F179</f>
        <v>0</v>
      </c>
      <c r="H179" s="27"/>
      <c r="I179" s="27"/>
      <c r="J179" s="28" t="n">
        <f aca="false">SUM(I179-H179)/10</f>
        <v>0</v>
      </c>
      <c r="K179" s="39"/>
      <c r="L179" s="29" t="str">
        <f aca="false">IF(AND(K179=0,J179=0),"",K179/J179)</f>
        <v/>
      </c>
      <c r="M179" s="30"/>
      <c r="N179" s="31"/>
      <c r="O179" s="30"/>
      <c r="P179" s="30"/>
      <c r="Q179" s="33"/>
      <c r="R179" s="30"/>
      <c r="S179" s="30"/>
      <c r="T179" s="30"/>
      <c r="U179" s="30"/>
      <c r="V179" s="30"/>
      <c r="W179" s="30"/>
    </row>
    <row r="180" customFormat="false" ht="69" hidden="false" customHeight="true" outlineLevel="0" collapsed="false">
      <c r="A180" s="23"/>
      <c r="B180" s="24" t="n">
        <v>46230</v>
      </c>
      <c r="C180" s="25"/>
      <c r="D180" s="26"/>
      <c r="E180" s="26"/>
      <c r="F180" s="22" t="n">
        <f aca="false">(D180-E180)*0.25</f>
        <v>-0</v>
      </c>
      <c r="G180" s="22" t="n">
        <f aca="false">(D180-E180)-F180</f>
        <v>0</v>
      </c>
      <c r="H180" s="27"/>
      <c r="I180" s="27"/>
      <c r="J180" s="28" t="n">
        <f aca="false">SUM(I180-H180)/10</f>
        <v>0</v>
      </c>
      <c r="K180" s="39"/>
      <c r="L180" s="29" t="str">
        <f aca="false">IF(AND(K180=0,J180=0),"",K180/J180)</f>
        <v/>
      </c>
      <c r="M180" s="30"/>
      <c r="N180" s="31"/>
      <c r="O180" s="30"/>
      <c r="P180" s="30"/>
      <c r="Q180" s="33"/>
      <c r="R180" s="30"/>
      <c r="S180" s="30"/>
      <c r="T180" s="30"/>
      <c r="U180" s="30"/>
      <c r="V180" s="30"/>
      <c r="W180" s="30"/>
    </row>
    <row r="181" customFormat="false" ht="69" hidden="false" customHeight="true" outlineLevel="0" collapsed="false">
      <c r="A181" s="23"/>
      <c r="B181" s="24" t="n">
        <v>46231</v>
      </c>
      <c r="C181" s="25"/>
      <c r="D181" s="26"/>
      <c r="E181" s="26"/>
      <c r="F181" s="22" t="n">
        <f aca="false">(D181-E181)*0.25</f>
        <v>-0</v>
      </c>
      <c r="G181" s="22" t="n">
        <f aca="false">(D181-E181)-F181</f>
        <v>0</v>
      </c>
      <c r="H181" s="27"/>
      <c r="I181" s="27"/>
      <c r="J181" s="28" t="n">
        <f aca="false">SUM(I181-H181)/10</f>
        <v>0</v>
      </c>
      <c r="K181" s="39"/>
      <c r="L181" s="29" t="str">
        <f aca="false">IF(AND(K181=0,J181=0),"",K181/J181)</f>
        <v/>
      </c>
      <c r="M181" s="30"/>
      <c r="N181" s="31"/>
      <c r="O181" s="30"/>
      <c r="P181" s="30"/>
      <c r="Q181" s="33"/>
      <c r="R181" s="30"/>
      <c r="S181" s="30"/>
      <c r="T181" s="30"/>
      <c r="U181" s="30"/>
      <c r="V181" s="30"/>
      <c r="W181" s="30"/>
    </row>
    <row r="182" customFormat="false" ht="69" hidden="false" customHeight="true" outlineLevel="0" collapsed="false">
      <c r="A182" s="23"/>
      <c r="B182" s="24" t="n">
        <v>46232</v>
      </c>
      <c r="C182" s="25"/>
      <c r="D182" s="26"/>
      <c r="E182" s="26"/>
      <c r="F182" s="22" t="n">
        <f aca="false">(D182-E182)*0.25</f>
        <v>-0</v>
      </c>
      <c r="G182" s="22" t="n">
        <f aca="false">(D182-E182)-F182</f>
        <v>0</v>
      </c>
      <c r="H182" s="27"/>
      <c r="I182" s="27"/>
      <c r="J182" s="28" t="n">
        <f aca="false">SUM(I182-H182)/10</f>
        <v>0</v>
      </c>
      <c r="K182" s="39"/>
      <c r="L182" s="29" t="str">
        <f aca="false">IF(AND(K182=0,J182=0),"",K182/J182)</f>
        <v/>
      </c>
      <c r="M182" s="30"/>
      <c r="N182" s="31"/>
      <c r="O182" s="30"/>
      <c r="P182" s="30"/>
      <c r="Q182" s="33"/>
      <c r="R182" s="30"/>
      <c r="S182" s="30"/>
      <c r="T182" s="30"/>
      <c r="U182" s="30"/>
      <c r="V182" s="30"/>
      <c r="W182" s="30"/>
    </row>
    <row r="183" customFormat="false" ht="69" hidden="false" customHeight="true" outlineLevel="0" collapsed="false">
      <c r="A183" s="23"/>
      <c r="B183" s="24" t="n">
        <v>46233</v>
      </c>
      <c r="C183" s="25"/>
      <c r="D183" s="26"/>
      <c r="E183" s="26"/>
      <c r="F183" s="22" t="n">
        <f aca="false">(D183-E183)*0.25</f>
        <v>-0</v>
      </c>
      <c r="G183" s="22" t="n">
        <f aca="false">(D183-E183)-F183</f>
        <v>0</v>
      </c>
      <c r="H183" s="27"/>
      <c r="I183" s="27"/>
      <c r="J183" s="28" t="n">
        <f aca="false">SUM(I183-H183)/10</f>
        <v>0</v>
      </c>
      <c r="K183" s="39"/>
      <c r="L183" s="29" t="str">
        <f aca="false">IF(AND(K183=0,J183=0),"",K183/J183)</f>
        <v/>
      </c>
      <c r="M183" s="30"/>
      <c r="N183" s="31"/>
      <c r="O183" s="30"/>
      <c r="P183" s="30"/>
      <c r="Q183" s="33"/>
      <c r="R183" s="30"/>
      <c r="S183" s="30"/>
      <c r="T183" s="30"/>
      <c r="U183" s="30"/>
      <c r="V183" s="30"/>
      <c r="W183" s="30"/>
    </row>
    <row r="184" customFormat="false" ht="69" hidden="false" customHeight="true" outlineLevel="0" collapsed="false">
      <c r="A184" s="23"/>
      <c r="B184" s="24" t="n">
        <v>46234</v>
      </c>
      <c r="C184" s="25"/>
      <c r="D184" s="26"/>
      <c r="E184" s="26"/>
      <c r="F184" s="22" t="n">
        <f aca="false">(D184-E184)*0.25</f>
        <v>-0</v>
      </c>
      <c r="G184" s="22" t="n">
        <f aca="false">(D184-E184)-F184</f>
        <v>0</v>
      </c>
      <c r="H184" s="27"/>
      <c r="I184" s="27"/>
      <c r="J184" s="28" t="n">
        <f aca="false">SUM(I184-H184)/10</f>
        <v>0</v>
      </c>
      <c r="K184" s="39"/>
      <c r="L184" s="29" t="str">
        <f aca="false">IF(AND(K184=0,J184=0),"",K184/J184)</f>
        <v/>
      </c>
      <c r="M184" s="30"/>
      <c r="N184" s="31"/>
      <c r="O184" s="30"/>
      <c r="P184" s="30"/>
      <c r="Q184" s="33"/>
      <c r="R184" s="30"/>
      <c r="S184" s="30"/>
      <c r="T184" s="30"/>
      <c r="U184" s="30"/>
      <c r="V184" s="30"/>
      <c r="W184" s="30"/>
    </row>
    <row r="185" customFormat="false" ht="69" hidden="false" customHeight="true" outlineLevel="0" collapsed="false">
      <c r="A185" s="23"/>
      <c r="B185" s="24" t="n">
        <v>46235</v>
      </c>
      <c r="C185" s="25"/>
      <c r="D185" s="26"/>
      <c r="E185" s="26"/>
      <c r="F185" s="22" t="n">
        <f aca="false">(D185-E185)*0.25</f>
        <v>-0</v>
      </c>
      <c r="G185" s="22" t="n">
        <f aca="false">(D185-E185)-F185</f>
        <v>0</v>
      </c>
      <c r="H185" s="27"/>
      <c r="I185" s="27"/>
      <c r="J185" s="28" t="n">
        <f aca="false">SUM(I185-H185)/10</f>
        <v>0</v>
      </c>
      <c r="K185" s="39"/>
      <c r="L185" s="29" t="str">
        <f aca="false">IF(AND(K185=0,J185=0),"",K185/J185)</f>
        <v/>
      </c>
      <c r="M185" s="30"/>
      <c r="N185" s="31"/>
      <c r="O185" s="30"/>
      <c r="P185" s="30"/>
      <c r="Q185" s="33"/>
      <c r="R185" s="30"/>
      <c r="S185" s="30"/>
      <c r="T185" s="30"/>
      <c r="U185" s="30"/>
      <c r="V185" s="30"/>
      <c r="W185" s="30"/>
    </row>
    <row r="186" customFormat="false" ht="69" hidden="false" customHeight="true" outlineLevel="0" collapsed="false">
      <c r="A186" s="23"/>
      <c r="B186" s="24" t="n">
        <v>46236</v>
      </c>
      <c r="C186" s="25"/>
      <c r="D186" s="26"/>
      <c r="E186" s="26"/>
      <c r="F186" s="22" t="n">
        <f aca="false">(D186-E186)*0.25</f>
        <v>-0</v>
      </c>
      <c r="G186" s="22" t="n">
        <f aca="false">(D186-E186)-F186</f>
        <v>0</v>
      </c>
      <c r="H186" s="27"/>
      <c r="I186" s="27"/>
      <c r="J186" s="28" t="n">
        <f aca="false">SUM(I186-H186)/10</f>
        <v>0</v>
      </c>
      <c r="K186" s="39"/>
      <c r="L186" s="29" t="str">
        <f aca="false">IF(AND(K186=0,J186=0),"",K186/J186)</f>
        <v/>
      </c>
      <c r="M186" s="30"/>
      <c r="N186" s="31"/>
      <c r="O186" s="30"/>
      <c r="P186" s="30"/>
      <c r="Q186" s="33"/>
      <c r="R186" s="30"/>
      <c r="S186" s="30"/>
      <c r="T186" s="30"/>
      <c r="U186" s="30"/>
      <c r="V186" s="30"/>
      <c r="W186" s="30"/>
    </row>
    <row r="187" customFormat="false" ht="69" hidden="false" customHeight="true" outlineLevel="0" collapsed="false">
      <c r="A187" s="23"/>
      <c r="B187" s="24" t="n">
        <v>46237</v>
      </c>
      <c r="C187" s="25"/>
      <c r="D187" s="26"/>
      <c r="E187" s="26"/>
      <c r="F187" s="22" t="n">
        <f aca="false">(D187-E187)*0.25</f>
        <v>-0</v>
      </c>
      <c r="G187" s="22" t="n">
        <f aca="false">(D187-E187)-F187</f>
        <v>0</v>
      </c>
      <c r="H187" s="27"/>
      <c r="I187" s="27"/>
      <c r="J187" s="28" t="n">
        <f aca="false">SUM(I187-H187)/10</f>
        <v>0</v>
      </c>
      <c r="K187" s="39"/>
      <c r="L187" s="29" t="str">
        <f aca="false">IF(AND(K187=0,J187=0),"",K187/J187)</f>
        <v/>
      </c>
      <c r="M187" s="30"/>
      <c r="N187" s="31"/>
      <c r="O187" s="30"/>
      <c r="P187" s="30"/>
      <c r="Q187" s="33"/>
      <c r="R187" s="30"/>
      <c r="S187" s="30"/>
      <c r="T187" s="30"/>
      <c r="U187" s="30"/>
      <c r="V187" s="30"/>
      <c r="W187" s="30"/>
    </row>
    <row r="188" customFormat="false" ht="69" hidden="false" customHeight="true" outlineLevel="0" collapsed="false">
      <c r="A188" s="23"/>
      <c r="B188" s="24" t="n">
        <v>46238</v>
      </c>
      <c r="C188" s="25"/>
      <c r="D188" s="26"/>
      <c r="E188" s="26"/>
      <c r="F188" s="22" t="n">
        <f aca="false">(D188-E188)*0.25</f>
        <v>-0</v>
      </c>
      <c r="G188" s="22" t="n">
        <f aca="false">(D188-E188)-F188</f>
        <v>0</v>
      </c>
      <c r="H188" s="27"/>
      <c r="I188" s="27"/>
      <c r="J188" s="28" t="n">
        <f aca="false">SUM(I188-H188)/10</f>
        <v>0</v>
      </c>
      <c r="K188" s="39"/>
      <c r="L188" s="29" t="str">
        <f aca="false">IF(AND(K188=0,J188=0),"",K188/J188)</f>
        <v/>
      </c>
      <c r="M188" s="30"/>
      <c r="N188" s="31"/>
      <c r="O188" s="30"/>
      <c r="P188" s="30"/>
      <c r="Q188" s="33"/>
      <c r="R188" s="30"/>
      <c r="S188" s="30"/>
      <c r="T188" s="30"/>
      <c r="U188" s="30"/>
      <c r="V188" s="30"/>
      <c r="W188" s="30"/>
    </row>
    <row r="189" customFormat="false" ht="69" hidden="false" customHeight="true" outlineLevel="0" collapsed="false">
      <c r="A189" s="23"/>
      <c r="B189" s="24" t="n">
        <v>46239</v>
      </c>
      <c r="C189" s="25"/>
      <c r="D189" s="26"/>
      <c r="E189" s="26"/>
      <c r="F189" s="22" t="n">
        <f aca="false">(D189-E189)*0.25</f>
        <v>-0</v>
      </c>
      <c r="G189" s="22" t="n">
        <f aca="false">(D189-E189)-F189</f>
        <v>0</v>
      </c>
      <c r="H189" s="27"/>
      <c r="I189" s="27"/>
      <c r="J189" s="28" t="n">
        <f aca="false">SUM(I189-H189)/10</f>
        <v>0</v>
      </c>
      <c r="K189" s="39"/>
      <c r="L189" s="29" t="str">
        <f aca="false">IF(AND(K189=0,J189=0),"",K189/J189)</f>
        <v/>
      </c>
      <c r="M189" s="30"/>
      <c r="N189" s="31"/>
      <c r="O189" s="30"/>
      <c r="P189" s="30"/>
      <c r="Q189" s="33"/>
      <c r="R189" s="30"/>
      <c r="S189" s="30"/>
      <c r="T189" s="30"/>
      <c r="U189" s="30"/>
      <c r="V189" s="30"/>
      <c r="W189" s="30"/>
    </row>
    <row r="190" customFormat="false" ht="69" hidden="false" customHeight="true" outlineLevel="0" collapsed="false">
      <c r="A190" s="23"/>
      <c r="B190" s="24" t="n">
        <v>46240</v>
      </c>
      <c r="C190" s="25"/>
      <c r="D190" s="26"/>
      <c r="E190" s="26"/>
      <c r="F190" s="22" t="n">
        <f aca="false">(D190-E190)*0.25</f>
        <v>-0</v>
      </c>
      <c r="G190" s="22" t="n">
        <f aca="false">(D190-E190)-F190</f>
        <v>0</v>
      </c>
      <c r="H190" s="27"/>
      <c r="I190" s="27"/>
      <c r="J190" s="28" t="n">
        <f aca="false">SUM(I190-H190)/10</f>
        <v>0</v>
      </c>
      <c r="K190" s="39"/>
      <c r="L190" s="29" t="str">
        <f aca="false">IF(AND(K190=0,J190=0),"",K190/J190)</f>
        <v/>
      </c>
      <c r="M190" s="30"/>
      <c r="N190" s="31"/>
      <c r="O190" s="30"/>
      <c r="P190" s="30"/>
      <c r="Q190" s="33"/>
      <c r="R190" s="30"/>
      <c r="S190" s="30"/>
      <c r="T190" s="30"/>
      <c r="U190" s="30"/>
      <c r="V190" s="30"/>
      <c r="W190" s="30"/>
    </row>
    <row r="191" customFormat="false" ht="69" hidden="false" customHeight="true" outlineLevel="0" collapsed="false">
      <c r="A191" s="23"/>
      <c r="B191" s="24" t="n">
        <v>46241</v>
      </c>
      <c r="C191" s="25"/>
      <c r="D191" s="26"/>
      <c r="E191" s="26"/>
      <c r="F191" s="22" t="n">
        <f aca="false">(D191-E191)*0.25</f>
        <v>-0</v>
      </c>
      <c r="G191" s="22" t="n">
        <f aca="false">(D191-E191)-F191</f>
        <v>0</v>
      </c>
      <c r="H191" s="27"/>
      <c r="I191" s="27"/>
      <c r="J191" s="28" t="n">
        <f aca="false">SUM(I191-H191)/10</f>
        <v>0</v>
      </c>
      <c r="K191" s="39"/>
      <c r="L191" s="29" t="str">
        <f aca="false">IF(AND(K191=0,J191=0),"",K191/J191)</f>
        <v/>
      </c>
      <c r="M191" s="30"/>
      <c r="N191" s="31"/>
      <c r="O191" s="30"/>
      <c r="P191" s="30"/>
      <c r="Q191" s="33"/>
      <c r="R191" s="30"/>
      <c r="S191" s="30"/>
      <c r="T191" s="30"/>
      <c r="U191" s="30"/>
      <c r="V191" s="30"/>
      <c r="W191" s="30"/>
    </row>
    <row r="192" customFormat="false" ht="69" hidden="false" customHeight="true" outlineLevel="0" collapsed="false">
      <c r="A192" s="23"/>
      <c r="B192" s="24" t="n">
        <v>46242</v>
      </c>
      <c r="C192" s="25"/>
      <c r="D192" s="26"/>
      <c r="E192" s="26"/>
      <c r="F192" s="22" t="n">
        <f aca="false">(D192-E192)*0.25</f>
        <v>-0</v>
      </c>
      <c r="G192" s="22" t="n">
        <f aca="false">(D192-E192)-F192</f>
        <v>0</v>
      </c>
      <c r="H192" s="27"/>
      <c r="I192" s="27"/>
      <c r="J192" s="28" t="n">
        <f aca="false">SUM(I192-H192)/10</f>
        <v>0</v>
      </c>
      <c r="K192" s="39"/>
      <c r="L192" s="29" t="str">
        <f aca="false">IF(AND(K192=0,J192=0),"",K192/J192)</f>
        <v/>
      </c>
      <c r="M192" s="30"/>
      <c r="N192" s="31"/>
      <c r="O192" s="30"/>
      <c r="P192" s="30"/>
      <c r="Q192" s="33"/>
      <c r="R192" s="30"/>
      <c r="S192" s="30"/>
      <c r="T192" s="30"/>
      <c r="U192" s="30"/>
      <c r="V192" s="30"/>
      <c r="W192" s="30"/>
    </row>
    <row r="193" customFormat="false" ht="69" hidden="false" customHeight="true" outlineLevel="0" collapsed="false">
      <c r="A193" s="23"/>
      <c r="B193" s="24" t="n">
        <v>46243</v>
      </c>
      <c r="C193" s="25"/>
      <c r="D193" s="26"/>
      <c r="E193" s="26"/>
      <c r="F193" s="22" t="n">
        <f aca="false">(D193-E193)*0.25</f>
        <v>-0</v>
      </c>
      <c r="G193" s="22" t="n">
        <f aca="false">(D193-E193)-F193</f>
        <v>0</v>
      </c>
      <c r="H193" s="27"/>
      <c r="I193" s="27"/>
      <c r="J193" s="28" t="n">
        <f aca="false">SUM(I193-H193)/10</f>
        <v>0</v>
      </c>
      <c r="K193" s="39"/>
      <c r="L193" s="29" t="str">
        <f aca="false">IF(AND(K193=0,J193=0),"",K193/J193)</f>
        <v/>
      </c>
      <c r="M193" s="30"/>
      <c r="N193" s="31"/>
      <c r="O193" s="30"/>
      <c r="P193" s="30"/>
      <c r="Q193" s="33"/>
      <c r="R193" s="30"/>
      <c r="S193" s="30"/>
      <c r="T193" s="30"/>
      <c r="U193" s="30"/>
      <c r="V193" s="30"/>
      <c r="W193" s="30"/>
    </row>
    <row r="194" customFormat="false" ht="69" hidden="false" customHeight="true" outlineLevel="0" collapsed="false">
      <c r="A194" s="23"/>
      <c r="B194" s="24" t="n">
        <v>46244</v>
      </c>
      <c r="C194" s="25"/>
      <c r="D194" s="26"/>
      <c r="E194" s="26"/>
      <c r="F194" s="22" t="n">
        <f aca="false">(D194-E194)*0.25</f>
        <v>-0</v>
      </c>
      <c r="G194" s="22" t="n">
        <f aca="false">(D194-E194)-F194</f>
        <v>0</v>
      </c>
      <c r="H194" s="27"/>
      <c r="I194" s="27"/>
      <c r="J194" s="28" t="n">
        <f aca="false">SUM(I194-H194)/10</f>
        <v>0</v>
      </c>
      <c r="K194" s="39"/>
      <c r="L194" s="29" t="str">
        <f aca="false">IF(AND(K194=0,J194=0),"",K194/J194)</f>
        <v/>
      </c>
      <c r="M194" s="30"/>
      <c r="N194" s="31"/>
      <c r="O194" s="30"/>
      <c r="P194" s="30"/>
      <c r="Q194" s="33"/>
      <c r="R194" s="30"/>
      <c r="S194" s="30"/>
      <c r="T194" s="30"/>
      <c r="U194" s="30"/>
      <c r="V194" s="30"/>
      <c r="W194" s="30"/>
    </row>
    <row r="195" customFormat="false" ht="69" hidden="false" customHeight="true" outlineLevel="0" collapsed="false">
      <c r="A195" s="23"/>
      <c r="B195" s="24" t="n">
        <v>46245</v>
      </c>
      <c r="C195" s="25"/>
      <c r="D195" s="26"/>
      <c r="E195" s="26"/>
      <c r="F195" s="22" t="n">
        <f aca="false">(D195-E195)*0.25</f>
        <v>-0</v>
      </c>
      <c r="G195" s="22" t="n">
        <f aca="false">(D195-E195)-F195</f>
        <v>0</v>
      </c>
      <c r="H195" s="27"/>
      <c r="I195" s="27"/>
      <c r="J195" s="28" t="n">
        <f aca="false">SUM(I195-H195)/10</f>
        <v>0</v>
      </c>
      <c r="K195" s="39"/>
      <c r="L195" s="29" t="str">
        <f aca="false">IF(AND(K195=0,J195=0),"",K195/J195)</f>
        <v/>
      </c>
      <c r="M195" s="30"/>
      <c r="N195" s="31"/>
      <c r="O195" s="30"/>
      <c r="P195" s="30"/>
      <c r="Q195" s="33"/>
      <c r="R195" s="30"/>
      <c r="S195" s="30"/>
      <c r="T195" s="30"/>
      <c r="U195" s="30"/>
      <c r="V195" s="30"/>
      <c r="W195" s="30"/>
    </row>
    <row r="196" customFormat="false" ht="69" hidden="false" customHeight="true" outlineLevel="0" collapsed="false">
      <c r="A196" s="23"/>
      <c r="B196" s="24" t="n">
        <v>46246</v>
      </c>
      <c r="C196" s="25"/>
      <c r="D196" s="26"/>
      <c r="E196" s="26"/>
      <c r="F196" s="22" t="n">
        <f aca="false">(D196-E196)*0.25</f>
        <v>-0</v>
      </c>
      <c r="G196" s="22" t="n">
        <f aca="false">(D196-E196)-F196</f>
        <v>0</v>
      </c>
      <c r="H196" s="27"/>
      <c r="I196" s="27"/>
      <c r="J196" s="28" t="n">
        <f aca="false">SUM(I196-H196)/10</f>
        <v>0</v>
      </c>
      <c r="K196" s="39"/>
      <c r="L196" s="29" t="str">
        <f aca="false">IF(AND(K196=0,J196=0),"",K196/J196)</f>
        <v/>
      </c>
      <c r="M196" s="30"/>
      <c r="N196" s="31"/>
      <c r="O196" s="30"/>
      <c r="P196" s="30"/>
      <c r="Q196" s="33"/>
      <c r="R196" s="30"/>
      <c r="S196" s="30"/>
      <c r="T196" s="30"/>
      <c r="U196" s="30"/>
      <c r="V196" s="30"/>
      <c r="W196" s="30"/>
    </row>
    <row r="197" customFormat="false" ht="69" hidden="false" customHeight="true" outlineLevel="0" collapsed="false">
      <c r="A197" s="23"/>
      <c r="B197" s="24" t="n">
        <v>46247</v>
      </c>
      <c r="C197" s="25"/>
      <c r="D197" s="26"/>
      <c r="E197" s="26"/>
      <c r="F197" s="22" t="n">
        <f aca="false">(D197-E197)*0.25</f>
        <v>-0</v>
      </c>
      <c r="G197" s="22" t="n">
        <f aca="false">(D197-E197)-F197</f>
        <v>0</v>
      </c>
      <c r="H197" s="27"/>
      <c r="I197" s="27"/>
      <c r="J197" s="28" t="n">
        <f aca="false">SUM(I197-H197)/10</f>
        <v>0</v>
      </c>
      <c r="K197" s="39"/>
      <c r="L197" s="29" t="str">
        <f aca="false">IF(AND(K197=0,J197=0),"",K197/J197)</f>
        <v/>
      </c>
      <c r="M197" s="30"/>
      <c r="N197" s="31"/>
      <c r="O197" s="30"/>
      <c r="P197" s="30"/>
      <c r="Q197" s="33"/>
      <c r="R197" s="30"/>
      <c r="S197" s="30"/>
      <c r="T197" s="30"/>
      <c r="U197" s="30"/>
      <c r="V197" s="30"/>
      <c r="W197" s="30"/>
    </row>
    <row r="198" customFormat="false" ht="69" hidden="false" customHeight="true" outlineLevel="0" collapsed="false">
      <c r="A198" s="23"/>
      <c r="B198" s="24" t="n">
        <v>46248</v>
      </c>
      <c r="C198" s="25"/>
      <c r="D198" s="26"/>
      <c r="E198" s="26"/>
      <c r="F198" s="22" t="n">
        <f aca="false">(D198-E198)*0.25</f>
        <v>-0</v>
      </c>
      <c r="G198" s="22" t="n">
        <f aca="false">(D198-E198)-F198</f>
        <v>0</v>
      </c>
      <c r="H198" s="27"/>
      <c r="I198" s="27"/>
      <c r="J198" s="28" t="n">
        <f aca="false">SUM(I198-H198)/10</f>
        <v>0</v>
      </c>
      <c r="K198" s="39"/>
      <c r="L198" s="29" t="str">
        <f aca="false">IF(AND(K198=0,J198=0),"",K198/J198)</f>
        <v/>
      </c>
      <c r="M198" s="30"/>
      <c r="N198" s="31"/>
      <c r="O198" s="30"/>
      <c r="P198" s="30"/>
      <c r="Q198" s="33"/>
      <c r="R198" s="30"/>
      <c r="S198" s="30"/>
      <c r="T198" s="30"/>
      <c r="U198" s="30"/>
      <c r="V198" s="30"/>
      <c r="W198" s="30"/>
    </row>
    <row r="199" customFormat="false" ht="69" hidden="false" customHeight="true" outlineLevel="0" collapsed="false">
      <c r="A199" s="23"/>
      <c r="B199" s="24" t="n">
        <v>46249</v>
      </c>
      <c r="C199" s="25"/>
      <c r="D199" s="26"/>
      <c r="E199" s="26"/>
      <c r="F199" s="22" t="n">
        <f aca="false">(D199-E199)*0.25</f>
        <v>-0</v>
      </c>
      <c r="G199" s="22" t="n">
        <f aca="false">(D199-E199)-F199</f>
        <v>0</v>
      </c>
      <c r="H199" s="27"/>
      <c r="I199" s="27"/>
      <c r="J199" s="28" t="n">
        <f aca="false">SUM(I199-H199)/10</f>
        <v>0</v>
      </c>
      <c r="K199" s="39"/>
      <c r="L199" s="29" t="str">
        <f aca="false">IF(AND(K199=0,J199=0),"",K199/J199)</f>
        <v/>
      </c>
      <c r="M199" s="30"/>
      <c r="N199" s="31"/>
      <c r="O199" s="30"/>
      <c r="P199" s="30"/>
      <c r="Q199" s="33"/>
      <c r="R199" s="30"/>
      <c r="S199" s="30"/>
      <c r="T199" s="30"/>
      <c r="U199" s="30"/>
      <c r="V199" s="30"/>
      <c r="W199" s="30"/>
    </row>
    <row r="200" customFormat="false" ht="69" hidden="false" customHeight="true" outlineLevel="0" collapsed="false">
      <c r="A200" s="23"/>
      <c r="B200" s="24" t="n">
        <v>46250</v>
      </c>
      <c r="C200" s="25"/>
      <c r="D200" s="26"/>
      <c r="E200" s="26"/>
      <c r="F200" s="22" t="n">
        <f aca="false">(D200-E200)*0.25</f>
        <v>-0</v>
      </c>
      <c r="G200" s="22" t="n">
        <f aca="false">(D200-E200)-F200</f>
        <v>0</v>
      </c>
      <c r="H200" s="27"/>
      <c r="I200" s="27"/>
      <c r="J200" s="28" t="n">
        <f aca="false">SUM(I200-H200)/10</f>
        <v>0</v>
      </c>
      <c r="K200" s="39"/>
      <c r="L200" s="29" t="str">
        <f aca="false">IF(AND(K200=0,J200=0),"",K200/J200)</f>
        <v/>
      </c>
      <c r="M200" s="30"/>
      <c r="N200" s="31"/>
      <c r="O200" s="30"/>
      <c r="P200" s="30"/>
      <c r="Q200" s="33"/>
      <c r="R200" s="30"/>
      <c r="S200" s="30"/>
      <c r="T200" s="30"/>
      <c r="U200" s="30"/>
      <c r="V200" s="30"/>
      <c r="W200" s="30"/>
    </row>
    <row r="201" customFormat="false" ht="69" hidden="false" customHeight="true" outlineLevel="0" collapsed="false">
      <c r="A201" s="23"/>
      <c r="B201" s="24" t="n">
        <v>46251</v>
      </c>
      <c r="C201" s="25"/>
      <c r="D201" s="26"/>
      <c r="E201" s="26"/>
      <c r="F201" s="22" t="n">
        <f aca="false">(D201-E201)*0.25</f>
        <v>-0</v>
      </c>
      <c r="G201" s="22" t="n">
        <f aca="false">(D201-E201)-F201</f>
        <v>0</v>
      </c>
      <c r="H201" s="27"/>
      <c r="I201" s="27"/>
      <c r="J201" s="28" t="n">
        <f aca="false">SUM(I201-H201)/10</f>
        <v>0</v>
      </c>
      <c r="K201" s="39"/>
      <c r="L201" s="29" t="str">
        <f aca="false">IF(AND(K201=0,J201=0),"",K201/J201)</f>
        <v/>
      </c>
      <c r="M201" s="30"/>
      <c r="N201" s="31"/>
      <c r="O201" s="30"/>
      <c r="P201" s="30"/>
      <c r="Q201" s="33"/>
      <c r="R201" s="30"/>
      <c r="S201" s="30"/>
      <c r="T201" s="30"/>
      <c r="U201" s="30"/>
      <c r="V201" s="30"/>
      <c r="W201" s="30"/>
    </row>
    <row r="202" customFormat="false" ht="69" hidden="false" customHeight="true" outlineLevel="0" collapsed="false">
      <c r="A202" s="23"/>
      <c r="B202" s="24" t="n">
        <v>46252</v>
      </c>
      <c r="C202" s="25"/>
      <c r="D202" s="26"/>
      <c r="E202" s="26"/>
      <c r="F202" s="22" t="n">
        <f aca="false">(D202-E202)*0.25</f>
        <v>-0</v>
      </c>
      <c r="G202" s="22" t="n">
        <f aca="false">(D202-E202)-F202</f>
        <v>0</v>
      </c>
      <c r="H202" s="27"/>
      <c r="I202" s="27"/>
      <c r="J202" s="28" t="n">
        <f aca="false">SUM(I202-H202)/10</f>
        <v>0</v>
      </c>
      <c r="K202" s="39"/>
      <c r="L202" s="29" t="str">
        <f aca="false">IF(AND(K202=0,J202=0),"",K202/J202)</f>
        <v/>
      </c>
      <c r="M202" s="30"/>
      <c r="N202" s="31"/>
      <c r="O202" s="30"/>
      <c r="P202" s="30"/>
      <c r="Q202" s="33"/>
      <c r="R202" s="30"/>
      <c r="S202" s="30"/>
      <c r="T202" s="30"/>
      <c r="U202" s="30"/>
      <c r="V202" s="30"/>
      <c r="W202" s="30"/>
    </row>
    <row r="203" customFormat="false" ht="69" hidden="false" customHeight="true" outlineLevel="0" collapsed="false">
      <c r="A203" s="23"/>
      <c r="B203" s="24" t="n">
        <v>46253</v>
      </c>
      <c r="C203" s="25"/>
      <c r="D203" s="26"/>
      <c r="E203" s="26"/>
      <c r="F203" s="22" t="n">
        <f aca="false">(D203-E203)*0.25</f>
        <v>-0</v>
      </c>
      <c r="G203" s="22" t="n">
        <f aca="false">(D203-E203)-F203</f>
        <v>0</v>
      </c>
      <c r="H203" s="27"/>
      <c r="I203" s="27"/>
      <c r="J203" s="28" t="n">
        <f aca="false">SUM(I203-H203)/10</f>
        <v>0</v>
      </c>
      <c r="K203" s="39"/>
      <c r="L203" s="29" t="str">
        <f aca="false">IF(AND(K203=0,J203=0),"",K203/J203)</f>
        <v/>
      </c>
      <c r="M203" s="30"/>
      <c r="N203" s="31"/>
      <c r="O203" s="30"/>
      <c r="P203" s="30"/>
      <c r="Q203" s="33"/>
      <c r="R203" s="30"/>
      <c r="S203" s="30"/>
      <c r="T203" s="30"/>
      <c r="U203" s="30"/>
      <c r="V203" s="30"/>
      <c r="W203" s="30"/>
    </row>
    <row r="204" customFormat="false" ht="69" hidden="false" customHeight="true" outlineLevel="0" collapsed="false">
      <c r="A204" s="23"/>
      <c r="B204" s="24" t="n">
        <v>46254</v>
      </c>
      <c r="C204" s="25"/>
      <c r="D204" s="26"/>
      <c r="E204" s="26"/>
      <c r="F204" s="22" t="n">
        <f aca="false">(D204-E204)*0.25</f>
        <v>-0</v>
      </c>
      <c r="G204" s="22" t="n">
        <f aca="false">(D204-E204)-F204</f>
        <v>0</v>
      </c>
      <c r="H204" s="27"/>
      <c r="I204" s="27"/>
      <c r="J204" s="28" t="n">
        <f aca="false">SUM(I204-H204)/10</f>
        <v>0</v>
      </c>
      <c r="K204" s="39"/>
      <c r="L204" s="29" t="str">
        <f aca="false">IF(AND(K204=0,J204=0),"",K204/J204)</f>
        <v/>
      </c>
      <c r="M204" s="30"/>
      <c r="N204" s="31"/>
      <c r="O204" s="30"/>
      <c r="P204" s="30"/>
      <c r="Q204" s="33"/>
      <c r="R204" s="30"/>
      <c r="S204" s="30"/>
      <c r="T204" s="30"/>
      <c r="U204" s="30"/>
      <c r="V204" s="30"/>
      <c r="W204" s="30"/>
    </row>
    <row r="205" customFormat="false" ht="69" hidden="false" customHeight="true" outlineLevel="0" collapsed="false">
      <c r="A205" s="23"/>
      <c r="B205" s="24" t="n">
        <v>46255</v>
      </c>
      <c r="C205" s="25"/>
      <c r="D205" s="26"/>
      <c r="E205" s="26"/>
      <c r="F205" s="22" t="n">
        <f aca="false">(D205-E205)*0.25</f>
        <v>-0</v>
      </c>
      <c r="G205" s="22" t="n">
        <f aca="false">(D205-E205)-F205</f>
        <v>0</v>
      </c>
      <c r="H205" s="27"/>
      <c r="I205" s="27"/>
      <c r="J205" s="28" t="n">
        <f aca="false">SUM(I205-H205)/10</f>
        <v>0</v>
      </c>
      <c r="K205" s="39"/>
      <c r="L205" s="29" t="str">
        <f aca="false">IF(AND(K205=0,J205=0),"",K205/J205)</f>
        <v/>
      </c>
      <c r="M205" s="30"/>
      <c r="N205" s="31"/>
      <c r="O205" s="30"/>
      <c r="P205" s="30"/>
      <c r="Q205" s="33"/>
      <c r="R205" s="30"/>
      <c r="S205" s="30"/>
      <c r="T205" s="30"/>
      <c r="U205" s="30"/>
      <c r="V205" s="30"/>
      <c r="W205" s="30"/>
    </row>
    <row r="206" customFormat="false" ht="69" hidden="false" customHeight="true" outlineLevel="0" collapsed="false">
      <c r="A206" s="23"/>
      <c r="B206" s="24" t="n">
        <v>46256</v>
      </c>
      <c r="C206" s="25"/>
      <c r="D206" s="26"/>
      <c r="E206" s="26"/>
      <c r="F206" s="22" t="n">
        <f aca="false">(D206-E206)*0.25</f>
        <v>-0</v>
      </c>
      <c r="G206" s="22" t="n">
        <f aca="false">(D206-E206)-F206</f>
        <v>0</v>
      </c>
      <c r="H206" s="27"/>
      <c r="I206" s="27"/>
      <c r="J206" s="28" t="n">
        <f aca="false">SUM(I206-H206)/10</f>
        <v>0</v>
      </c>
      <c r="K206" s="39"/>
      <c r="L206" s="29" t="str">
        <f aca="false">IF(AND(K206=0,J206=0),"",K206/J206)</f>
        <v/>
      </c>
      <c r="M206" s="30"/>
      <c r="N206" s="31"/>
      <c r="O206" s="30"/>
      <c r="P206" s="30"/>
      <c r="Q206" s="33"/>
      <c r="R206" s="30"/>
      <c r="S206" s="30"/>
      <c r="T206" s="30"/>
      <c r="U206" s="30"/>
      <c r="V206" s="30"/>
      <c r="W206" s="30"/>
    </row>
    <row r="207" customFormat="false" ht="69" hidden="false" customHeight="true" outlineLevel="0" collapsed="false">
      <c r="A207" s="23"/>
      <c r="B207" s="24" t="n">
        <v>46257</v>
      </c>
      <c r="C207" s="25"/>
      <c r="D207" s="26"/>
      <c r="E207" s="26"/>
      <c r="F207" s="22" t="n">
        <f aca="false">(D207-E207)*0.25</f>
        <v>-0</v>
      </c>
      <c r="G207" s="22" t="n">
        <f aca="false">(D207-E207)-F207</f>
        <v>0</v>
      </c>
      <c r="H207" s="27"/>
      <c r="I207" s="27"/>
      <c r="J207" s="28" t="n">
        <f aca="false">SUM(I207-H207)/10</f>
        <v>0</v>
      </c>
      <c r="K207" s="39"/>
      <c r="L207" s="29" t="str">
        <f aca="false">IF(AND(K207=0,J207=0),"",K207/J207)</f>
        <v/>
      </c>
      <c r="M207" s="30"/>
      <c r="N207" s="31"/>
      <c r="O207" s="30"/>
      <c r="P207" s="30"/>
      <c r="Q207" s="33"/>
      <c r="R207" s="30"/>
      <c r="S207" s="30"/>
      <c r="T207" s="30"/>
      <c r="U207" s="30"/>
      <c r="V207" s="30"/>
      <c r="W207" s="30"/>
    </row>
    <row r="208" customFormat="false" ht="69" hidden="false" customHeight="true" outlineLevel="0" collapsed="false">
      <c r="A208" s="23"/>
      <c r="B208" s="24" t="n">
        <v>46258</v>
      </c>
      <c r="C208" s="25"/>
      <c r="D208" s="26"/>
      <c r="E208" s="26"/>
      <c r="F208" s="22" t="n">
        <f aca="false">(D208-E208)*0.25</f>
        <v>-0</v>
      </c>
      <c r="G208" s="22" t="n">
        <f aca="false">(D208-E208)-F208</f>
        <v>0</v>
      </c>
      <c r="H208" s="27"/>
      <c r="I208" s="27"/>
      <c r="J208" s="28" t="n">
        <f aca="false">SUM(I208-H208)/10</f>
        <v>0</v>
      </c>
      <c r="K208" s="39"/>
      <c r="L208" s="29" t="str">
        <f aca="false">IF(AND(K208=0,J208=0),"",K208/J208)</f>
        <v/>
      </c>
      <c r="M208" s="30"/>
      <c r="N208" s="31"/>
      <c r="O208" s="30"/>
      <c r="P208" s="30"/>
      <c r="Q208" s="33"/>
      <c r="R208" s="30"/>
      <c r="S208" s="30"/>
      <c r="T208" s="30"/>
      <c r="U208" s="30"/>
      <c r="V208" s="30"/>
      <c r="W208" s="30"/>
    </row>
    <row r="209" customFormat="false" ht="69" hidden="false" customHeight="true" outlineLevel="0" collapsed="false">
      <c r="A209" s="23"/>
      <c r="B209" s="24" t="n">
        <v>46259</v>
      </c>
      <c r="C209" s="25"/>
      <c r="D209" s="26"/>
      <c r="E209" s="26"/>
      <c r="F209" s="22" t="n">
        <f aca="false">(D209-E209)*0.25</f>
        <v>-0</v>
      </c>
      <c r="G209" s="22" t="n">
        <f aca="false">(D209-E209)-F209</f>
        <v>0</v>
      </c>
      <c r="H209" s="27"/>
      <c r="I209" s="27"/>
      <c r="J209" s="28" t="n">
        <f aca="false">SUM(I209-H209)/10</f>
        <v>0</v>
      </c>
      <c r="K209" s="39"/>
      <c r="L209" s="29" t="str">
        <f aca="false">IF(AND(K209=0,J209=0),"",K209/J209)</f>
        <v/>
      </c>
      <c r="M209" s="30"/>
      <c r="N209" s="31"/>
      <c r="O209" s="30"/>
      <c r="P209" s="30"/>
      <c r="Q209" s="33"/>
      <c r="R209" s="30"/>
      <c r="S209" s="30"/>
      <c r="T209" s="30"/>
      <c r="U209" s="30"/>
      <c r="V209" s="30"/>
      <c r="W209" s="30"/>
    </row>
    <row r="210" customFormat="false" ht="69" hidden="false" customHeight="true" outlineLevel="0" collapsed="false">
      <c r="A210" s="23"/>
      <c r="B210" s="24" t="n">
        <v>46260</v>
      </c>
      <c r="C210" s="25"/>
      <c r="D210" s="26"/>
      <c r="E210" s="26"/>
      <c r="F210" s="22" t="n">
        <f aca="false">(D210-E210)*0.25</f>
        <v>-0</v>
      </c>
      <c r="G210" s="22" t="n">
        <f aca="false">(D210-E210)-F210</f>
        <v>0</v>
      </c>
      <c r="H210" s="27"/>
      <c r="I210" s="27"/>
      <c r="J210" s="28" t="n">
        <f aca="false">SUM(I210-H210)/10</f>
        <v>0</v>
      </c>
      <c r="K210" s="39"/>
      <c r="L210" s="29" t="str">
        <f aca="false">IF(AND(K210=0,J210=0),"",K210/J210)</f>
        <v/>
      </c>
      <c r="M210" s="30"/>
      <c r="N210" s="31"/>
      <c r="O210" s="30"/>
      <c r="P210" s="30"/>
      <c r="Q210" s="33"/>
      <c r="R210" s="30"/>
      <c r="S210" s="30"/>
      <c r="T210" s="30"/>
      <c r="U210" s="30"/>
      <c r="V210" s="30"/>
      <c r="W210" s="30"/>
    </row>
    <row r="211" customFormat="false" ht="69" hidden="false" customHeight="true" outlineLevel="0" collapsed="false">
      <c r="A211" s="23"/>
      <c r="B211" s="24" t="n">
        <v>46261</v>
      </c>
      <c r="C211" s="25"/>
      <c r="D211" s="26"/>
      <c r="E211" s="26"/>
      <c r="F211" s="22" t="n">
        <f aca="false">(D211-E211)*0.25</f>
        <v>-0</v>
      </c>
      <c r="G211" s="22" t="n">
        <f aca="false">(D211-E211)-F211</f>
        <v>0</v>
      </c>
      <c r="H211" s="27"/>
      <c r="I211" s="27"/>
      <c r="J211" s="28" t="n">
        <f aca="false">SUM(I211-H211)/10</f>
        <v>0</v>
      </c>
      <c r="K211" s="39"/>
      <c r="L211" s="29" t="str">
        <f aca="false">IF(AND(K211=0,J211=0),"",K211/J211)</f>
        <v/>
      </c>
      <c r="M211" s="30"/>
      <c r="N211" s="31"/>
      <c r="O211" s="30"/>
      <c r="P211" s="30"/>
      <c r="Q211" s="33"/>
      <c r="R211" s="30"/>
      <c r="S211" s="30"/>
      <c r="T211" s="30"/>
      <c r="U211" s="30"/>
      <c r="V211" s="30"/>
      <c r="W211" s="30"/>
    </row>
    <row r="212" customFormat="false" ht="69" hidden="false" customHeight="true" outlineLevel="0" collapsed="false">
      <c r="A212" s="23"/>
      <c r="B212" s="24" t="n">
        <v>46262</v>
      </c>
      <c r="C212" s="25"/>
      <c r="D212" s="26"/>
      <c r="E212" s="26"/>
      <c r="F212" s="22" t="n">
        <f aca="false">(D212-E212)*0.25</f>
        <v>-0</v>
      </c>
      <c r="G212" s="22" t="n">
        <f aca="false">(D212-E212)-F212</f>
        <v>0</v>
      </c>
      <c r="H212" s="27"/>
      <c r="I212" s="27"/>
      <c r="J212" s="28" t="n">
        <f aca="false">SUM(I212-H212)/10</f>
        <v>0</v>
      </c>
      <c r="K212" s="39"/>
      <c r="L212" s="29" t="str">
        <f aca="false">IF(AND(K212=0,J212=0),"",K212/J212)</f>
        <v/>
      </c>
      <c r="M212" s="30"/>
      <c r="N212" s="31"/>
      <c r="O212" s="30"/>
      <c r="P212" s="30"/>
      <c r="Q212" s="33"/>
      <c r="R212" s="30"/>
      <c r="S212" s="30"/>
      <c r="T212" s="30"/>
      <c r="U212" s="30"/>
      <c r="V212" s="30"/>
      <c r="W212" s="30"/>
    </row>
    <row r="213" customFormat="false" ht="69" hidden="false" customHeight="true" outlineLevel="0" collapsed="false">
      <c r="A213" s="23"/>
      <c r="B213" s="24" t="n">
        <v>46263</v>
      </c>
      <c r="C213" s="25"/>
      <c r="D213" s="26"/>
      <c r="E213" s="26"/>
      <c r="F213" s="22" t="n">
        <f aca="false">(D213-E213)*0.25</f>
        <v>-0</v>
      </c>
      <c r="G213" s="22" t="n">
        <f aca="false">(D213-E213)-F213</f>
        <v>0</v>
      </c>
      <c r="H213" s="27"/>
      <c r="I213" s="27"/>
      <c r="J213" s="28" t="n">
        <f aca="false">SUM(I213-H213)/10</f>
        <v>0</v>
      </c>
      <c r="K213" s="39"/>
      <c r="L213" s="29" t="str">
        <f aca="false">IF(AND(K213=0,J213=0),"",K213/J213)</f>
        <v/>
      </c>
      <c r="M213" s="30"/>
      <c r="N213" s="31"/>
      <c r="O213" s="30"/>
      <c r="P213" s="30"/>
      <c r="Q213" s="33"/>
      <c r="R213" s="30"/>
      <c r="S213" s="30"/>
      <c r="T213" s="30"/>
      <c r="U213" s="30"/>
      <c r="V213" s="30"/>
      <c r="W213" s="30"/>
    </row>
    <row r="214" customFormat="false" ht="69" hidden="false" customHeight="true" outlineLevel="0" collapsed="false">
      <c r="A214" s="23"/>
      <c r="B214" s="24" t="n">
        <v>46264</v>
      </c>
      <c r="C214" s="25"/>
      <c r="D214" s="26"/>
      <c r="E214" s="26"/>
      <c r="F214" s="22" t="n">
        <f aca="false">(D214-E214)*0.25</f>
        <v>-0</v>
      </c>
      <c r="G214" s="22" t="n">
        <f aca="false">(D214-E214)-F214</f>
        <v>0</v>
      </c>
      <c r="H214" s="27"/>
      <c r="I214" s="27"/>
      <c r="J214" s="28" t="n">
        <f aca="false">SUM(I214-H214)/10</f>
        <v>0</v>
      </c>
      <c r="K214" s="39"/>
      <c r="L214" s="29" t="str">
        <f aca="false">IF(AND(K214=0,J214=0),"",K214/J214)</f>
        <v/>
      </c>
      <c r="M214" s="30"/>
      <c r="N214" s="31"/>
      <c r="O214" s="30"/>
      <c r="P214" s="30"/>
      <c r="Q214" s="33"/>
      <c r="R214" s="30"/>
      <c r="S214" s="30"/>
      <c r="T214" s="30"/>
      <c r="U214" s="30"/>
      <c r="V214" s="30"/>
      <c r="W214" s="30"/>
    </row>
    <row r="215" customFormat="false" ht="69" hidden="false" customHeight="true" outlineLevel="0" collapsed="false">
      <c r="A215" s="23"/>
      <c r="B215" s="24" t="n">
        <v>46265</v>
      </c>
      <c r="C215" s="25"/>
      <c r="D215" s="26"/>
      <c r="E215" s="26"/>
      <c r="F215" s="22" t="n">
        <f aca="false">(D215-E215)*0.25</f>
        <v>-0</v>
      </c>
      <c r="G215" s="22" t="n">
        <f aca="false">(D215-E215)-F215</f>
        <v>0</v>
      </c>
      <c r="H215" s="27"/>
      <c r="I215" s="27"/>
      <c r="J215" s="28" t="n">
        <f aca="false">SUM(I215-H215)/10</f>
        <v>0</v>
      </c>
      <c r="K215" s="39"/>
      <c r="L215" s="29" t="str">
        <f aca="false">IF(AND(K215=0,J215=0),"",K215/J215)</f>
        <v/>
      </c>
      <c r="M215" s="30"/>
      <c r="N215" s="31"/>
      <c r="O215" s="30"/>
      <c r="P215" s="30"/>
      <c r="Q215" s="33"/>
      <c r="R215" s="30"/>
      <c r="S215" s="30"/>
      <c r="T215" s="30"/>
      <c r="U215" s="30"/>
      <c r="V215" s="30"/>
      <c r="W215" s="30"/>
    </row>
    <row r="216" customFormat="false" ht="69" hidden="false" customHeight="true" outlineLevel="0" collapsed="false">
      <c r="A216" s="23"/>
      <c r="B216" s="24" t="n">
        <v>46266</v>
      </c>
      <c r="C216" s="25"/>
      <c r="D216" s="26"/>
      <c r="E216" s="26"/>
      <c r="F216" s="22" t="n">
        <f aca="false">(D216-E216)*0.25</f>
        <v>-0</v>
      </c>
      <c r="G216" s="22" t="n">
        <f aca="false">(D216-E216)-F216</f>
        <v>0</v>
      </c>
      <c r="H216" s="27"/>
      <c r="I216" s="27"/>
      <c r="J216" s="28" t="n">
        <f aca="false">SUM(I216-H216)/10</f>
        <v>0</v>
      </c>
      <c r="K216" s="39"/>
      <c r="L216" s="29" t="str">
        <f aca="false">IF(AND(K216=0,J216=0),"",K216/J216)</f>
        <v/>
      </c>
      <c r="M216" s="30"/>
      <c r="N216" s="31"/>
      <c r="O216" s="30"/>
      <c r="P216" s="30"/>
      <c r="Q216" s="33"/>
      <c r="R216" s="30"/>
      <c r="S216" s="30"/>
      <c r="T216" s="30"/>
      <c r="U216" s="30"/>
      <c r="V216" s="30"/>
      <c r="W216" s="30"/>
    </row>
    <row r="217" customFormat="false" ht="69" hidden="false" customHeight="true" outlineLevel="0" collapsed="false">
      <c r="A217" s="23"/>
      <c r="B217" s="24" t="n">
        <v>46267</v>
      </c>
      <c r="C217" s="25"/>
      <c r="D217" s="26"/>
      <c r="E217" s="26"/>
      <c r="F217" s="22" t="n">
        <f aca="false">(D217-E217)*0.25</f>
        <v>-0</v>
      </c>
      <c r="G217" s="22" t="n">
        <f aca="false">(D217-E217)-F217</f>
        <v>0</v>
      </c>
      <c r="H217" s="27"/>
      <c r="I217" s="27"/>
      <c r="J217" s="28" t="n">
        <f aca="false">SUM(I217-H217)/10</f>
        <v>0</v>
      </c>
      <c r="K217" s="39"/>
      <c r="L217" s="29" t="str">
        <f aca="false">IF(AND(K217=0,J217=0),"",K217/J217)</f>
        <v/>
      </c>
      <c r="M217" s="30"/>
      <c r="N217" s="31"/>
      <c r="O217" s="30"/>
      <c r="P217" s="30"/>
      <c r="Q217" s="33"/>
      <c r="R217" s="30"/>
      <c r="S217" s="30"/>
      <c r="T217" s="30"/>
      <c r="U217" s="30"/>
      <c r="V217" s="30"/>
      <c r="W217" s="30"/>
    </row>
    <row r="218" customFormat="false" ht="69" hidden="false" customHeight="true" outlineLevel="0" collapsed="false">
      <c r="A218" s="23"/>
      <c r="B218" s="24" t="n">
        <v>46268</v>
      </c>
      <c r="C218" s="25"/>
      <c r="D218" s="26"/>
      <c r="E218" s="26"/>
      <c r="F218" s="22" t="n">
        <f aca="false">(D218-E218)*0.25</f>
        <v>-0</v>
      </c>
      <c r="G218" s="22" t="n">
        <f aca="false">(D218-E218)-F218</f>
        <v>0</v>
      </c>
      <c r="H218" s="27"/>
      <c r="I218" s="27"/>
      <c r="J218" s="28" t="n">
        <f aca="false">SUM(I218-H218)/10</f>
        <v>0</v>
      </c>
      <c r="K218" s="39"/>
      <c r="L218" s="29" t="str">
        <f aca="false">IF(AND(K218=0,J218=0),"",K218/J218)</f>
        <v/>
      </c>
      <c r="M218" s="30"/>
      <c r="N218" s="31"/>
      <c r="O218" s="30"/>
      <c r="P218" s="30"/>
      <c r="Q218" s="33"/>
      <c r="R218" s="30"/>
      <c r="S218" s="30"/>
      <c r="T218" s="30"/>
      <c r="U218" s="30"/>
      <c r="V218" s="30"/>
      <c r="W218" s="30"/>
    </row>
    <row r="219" customFormat="false" ht="69" hidden="false" customHeight="true" outlineLevel="0" collapsed="false">
      <c r="A219" s="23"/>
      <c r="B219" s="24" t="n">
        <v>46269</v>
      </c>
      <c r="C219" s="25"/>
      <c r="D219" s="26"/>
      <c r="E219" s="26"/>
      <c r="F219" s="22" t="n">
        <f aca="false">(D219-E219)*0.25</f>
        <v>-0</v>
      </c>
      <c r="G219" s="22" t="n">
        <f aca="false">(D219-E219)-F219</f>
        <v>0</v>
      </c>
      <c r="H219" s="27"/>
      <c r="I219" s="27"/>
      <c r="J219" s="28" t="n">
        <f aca="false">SUM(I219-H219)/10</f>
        <v>0</v>
      </c>
      <c r="K219" s="39"/>
      <c r="L219" s="29" t="str">
        <f aca="false">IF(AND(K219=0,J219=0),"",K219/J219)</f>
        <v/>
      </c>
      <c r="M219" s="30"/>
      <c r="N219" s="31"/>
      <c r="O219" s="30"/>
      <c r="P219" s="30"/>
      <c r="Q219" s="33"/>
      <c r="R219" s="30"/>
      <c r="S219" s="30"/>
      <c r="T219" s="30"/>
      <c r="U219" s="30"/>
      <c r="V219" s="30"/>
      <c r="W219" s="30"/>
    </row>
    <row r="220" customFormat="false" ht="69" hidden="false" customHeight="true" outlineLevel="0" collapsed="false">
      <c r="A220" s="23"/>
      <c r="B220" s="24" t="n">
        <v>46270</v>
      </c>
      <c r="C220" s="25"/>
      <c r="D220" s="26"/>
      <c r="E220" s="26"/>
      <c r="F220" s="22" t="n">
        <f aca="false">(D220-E220)*0.25</f>
        <v>-0</v>
      </c>
      <c r="G220" s="22" t="n">
        <f aca="false">(D220-E220)-F220</f>
        <v>0</v>
      </c>
      <c r="H220" s="27"/>
      <c r="I220" s="27"/>
      <c r="J220" s="28" t="n">
        <f aca="false">SUM(I220-H220)/10</f>
        <v>0</v>
      </c>
      <c r="K220" s="39"/>
      <c r="L220" s="29" t="str">
        <f aca="false">IF(AND(K220=0,J220=0),"",K220/J220)</f>
        <v/>
      </c>
      <c r="M220" s="30"/>
      <c r="N220" s="31"/>
      <c r="O220" s="30"/>
      <c r="P220" s="30"/>
      <c r="Q220" s="33"/>
      <c r="R220" s="30"/>
      <c r="S220" s="30"/>
      <c r="T220" s="30"/>
      <c r="U220" s="30"/>
      <c r="V220" s="30"/>
      <c r="W220" s="30"/>
    </row>
    <row r="221" customFormat="false" ht="69" hidden="false" customHeight="true" outlineLevel="0" collapsed="false">
      <c r="A221" s="23"/>
      <c r="B221" s="24" t="n">
        <v>46271</v>
      </c>
      <c r="C221" s="25"/>
      <c r="D221" s="26"/>
      <c r="E221" s="26"/>
      <c r="F221" s="22" t="n">
        <f aca="false">(D221-E221)*0.25</f>
        <v>-0</v>
      </c>
      <c r="G221" s="22" t="n">
        <f aca="false">(D221-E221)-F221</f>
        <v>0</v>
      </c>
      <c r="H221" s="27"/>
      <c r="I221" s="27"/>
      <c r="J221" s="28" t="n">
        <f aca="false">SUM(I221-H221)/10</f>
        <v>0</v>
      </c>
      <c r="K221" s="39"/>
      <c r="L221" s="29" t="str">
        <f aca="false">IF(AND(K221=0,J221=0),"",K221/J221)</f>
        <v/>
      </c>
      <c r="M221" s="30"/>
      <c r="N221" s="31"/>
      <c r="O221" s="30"/>
      <c r="P221" s="30"/>
      <c r="Q221" s="33"/>
      <c r="R221" s="30"/>
      <c r="S221" s="30"/>
      <c r="T221" s="30"/>
      <c r="U221" s="30"/>
      <c r="V221" s="30"/>
      <c r="W221" s="30"/>
    </row>
    <row r="222" customFormat="false" ht="69" hidden="false" customHeight="true" outlineLevel="0" collapsed="false">
      <c r="A222" s="23"/>
      <c r="B222" s="24" t="n">
        <v>46272</v>
      </c>
      <c r="C222" s="25"/>
      <c r="D222" s="26"/>
      <c r="E222" s="26"/>
      <c r="F222" s="22" t="n">
        <f aca="false">(D222-E222)*0.25</f>
        <v>-0</v>
      </c>
      <c r="G222" s="22" t="n">
        <f aca="false">(D222-E222)-F222</f>
        <v>0</v>
      </c>
      <c r="H222" s="27"/>
      <c r="I222" s="27"/>
      <c r="J222" s="28" t="n">
        <f aca="false">SUM(I222-H222)/10</f>
        <v>0</v>
      </c>
      <c r="K222" s="39"/>
      <c r="L222" s="29" t="str">
        <f aca="false">IF(AND(K222=0,J222=0),"",K222/J222)</f>
        <v/>
      </c>
      <c r="M222" s="30"/>
      <c r="N222" s="31"/>
      <c r="O222" s="30"/>
      <c r="P222" s="30"/>
      <c r="Q222" s="33"/>
      <c r="R222" s="30"/>
      <c r="S222" s="30"/>
      <c r="T222" s="30"/>
      <c r="U222" s="30"/>
      <c r="V222" s="30"/>
      <c r="W222" s="30"/>
    </row>
    <row r="223" customFormat="false" ht="69" hidden="false" customHeight="true" outlineLevel="0" collapsed="false">
      <c r="A223" s="23"/>
      <c r="B223" s="24" t="n">
        <v>46273</v>
      </c>
      <c r="C223" s="25"/>
      <c r="D223" s="26"/>
      <c r="E223" s="26"/>
      <c r="F223" s="22" t="n">
        <f aca="false">(D223-E223)*0.25</f>
        <v>-0</v>
      </c>
      <c r="G223" s="22" t="n">
        <f aca="false">(D223-E223)-F223</f>
        <v>0</v>
      </c>
      <c r="H223" s="27"/>
      <c r="I223" s="27"/>
      <c r="J223" s="28" t="n">
        <f aca="false">SUM(I223-H223)/10</f>
        <v>0</v>
      </c>
      <c r="K223" s="39"/>
      <c r="L223" s="29" t="str">
        <f aca="false">IF(AND(K223=0,J223=0),"",K223/J223)</f>
        <v/>
      </c>
      <c r="M223" s="30"/>
      <c r="N223" s="31"/>
      <c r="O223" s="30"/>
      <c r="P223" s="30"/>
      <c r="Q223" s="33"/>
      <c r="R223" s="30"/>
      <c r="S223" s="30"/>
      <c r="T223" s="30"/>
      <c r="U223" s="30"/>
      <c r="V223" s="30"/>
      <c r="W223" s="30"/>
    </row>
    <row r="224" customFormat="false" ht="69" hidden="false" customHeight="true" outlineLevel="0" collapsed="false">
      <c r="A224" s="23"/>
      <c r="B224" s="24" t="n">
        <v>46274</v>
      </c>
      <c r="C224" s="25"/>
      <c r="D224" s="26"/>
      <c r="E224" s="26"/>
      <c r="F224" s="22" t="n">
        <f aca="false">(D224-E224)*0.25</f>
        <v>-0</v>
      </c>
      <c r="G224" s="22" t="n">
        <f aca="false">(D224-E224)-F224</f>
        <v>0</v>
      </c>
      <c r="H224" s="27"/>
      <c r="I224" s="27"/>
      <c r="J224" s="28" t="n">
        <f aca="false">SUM(I224-H224)/10</f>
        <v>0</v>
      </c>
      <c r="K224" s="39"/>
      <c r="L224" s="29" t="str">
        <f aca="false">IF(AND(K224=0,J224=0),"",K224/J224)</f>
        <v/>
      </c>
      <c r="M224" s="30"/>
      <c r="N224" s="31"/>
      <c r="O224" s="30"/>
      <c r="P224" s="30"/>
      <c r="Q224" s="33"/>
      <c r="R224" s="30"/>
      <c r="S224" s="30"/>
      <c r="T224" s="30"/>
      <c r="U224" s="30"/>
      <c r="V224" s="30"/>
      <c r="W224" s="30"/>
    </row>
    <row r="225" customFormat="false" ht="69" hidden="false" customHeight="true" outlineLevel="0" collapsed="false">
      <c r="A225" s="23"/>
      <c r="B225" s="24" t="n">
        <v>46275</v>
      </c>
      <c r="C225" s="25"/>
      <c r="D225" s="26"/>
      <c r="E225" s="26"/>
      <c r="F225" s="22" t="n">
        <f aca="false">(D225-E225)*0.25</f>
        <v>-0</v>
      </c>
      <c r="G225" s="22" t="n">
        <f aca="false">(D225-E225)-F225</f>
        <v>0</v>
      </c>
      <c r="H225" s="27"/>
      <c r="I225" s="27"/>
      <c r="J225" s="28" t="n">
        <f aca="false">SUM(I225-H225)/10</f>
        <v>0</v>
      </c>
      <c r="K225" s="39"/>
      <c r="L225" s="29" t="str">
        <f aca="false">IF(AND(K225=0,J225=0),"",K225/J225)</f>
        <v/>
      </c>
      <c r="M225" s="30"/>
      <c r="N225" s="31"/>
      <c r="O225" s="30"/>
      <c r="P225" s="30"/>
      <c r="Q225" s="33"/>
      <c r="R225" s="30"/>
      <c r="S225" s="30"/>
      <c r="T225" s="30"/>
      <c r="U225" s="30"/>
      <c r="V225" s="30"/>
      <c r="W225" s="30"/>
    </row>
    <row r="226" customFormat="false" ht="69" hidden="false" customHeight="true" outlineLevel="0" collapsed="false">
      <c r="A226" s="23"/>
      <c r="B226" s="24" t="n">
        <v>46276</v>
      </c>
      <c r="C226" s="25"/>
      <c r="D226" s="26"/>
      <c r="E226" s="26"/>
      <c r="F226" s="22" t="n">
        <f aca="false">(D226-E226)*0.25</f>
        <v>-0</v>
      </c>
      <c r="G226" s="22" t="n">
        <f aca="false">(D226-E226)-F226</f>
        <v>0</v>
      </c>
      <c r="H226" s="27"/>
      <c r="I226" s="27"/>
      <c r="J226" s="28" t="n">
        <f aca="false">SUM(I226-H226)/10</f>
        <v>0</v>
      </c>
      <c r="K226" s="39"/>
      <c r="L226" s="29" t="str">
        <f aca="false">IF(AND(K226=0,J226=0),"",K226/J226)</f>
        <v/>
      </c>
      <c r="M226" s="30"/>
      <c r="N226" s="31"/>
      <c r="O226" s="30"/>
      <c r="P226" s="30"/>
      <c r="Q226" s="33"/>
      <c r="R226" s="30"/>
      <c r="S226" s="30"/>
      <c r="T226" s="30"/>
      <c r="U226" s="30"/>
      <c r="V226" s="30"/>
      <c r="W226" s="30"/>
    </row>
    <row r="227" customFormat="false" ht="69" hidden="false" customHeight="true" outlineLevel="0" collapsed="false">
      <c r="A227" s="23"/>
      <c r="B227" s="24" t="n">
        <v>46277</v>
      </c>
      <c r="C227" s="25"/>
      <c r="D227" s="26"/>
      <c r="E227" s="26"/>
      <c r="F227" s="22" t="n">
        <f aca="false">(D227-E227)*0.25</f>
        <v>-0</v>
      </c>
      <c r="G227" s="22" t="n">
        <f aca="false">(D227-E227)-F227</f>
        <v>0</v>
      </c>
      <c r="H227" s="27"/>
      <c r="I227" s="27"/>
      <c r="J227" s="28" t="n">
        <f aca="false">SUM(I227-H227)/10</f>
        <v>0</v>
      </c>
      <c r="K227" s="39"/>
      <c r="L227" s="29" t="str">
        <f aca="false">IF(AND(K227=0,J227=0),"",K227/J227)</f>
        <v/>
      </c>
      <c r="M227" s="30"/>
      <c r="N227" s="31"/>
      <c r="O227" s="30"/>
      <c r="P227" s="30"/>
      <c r="Q227" s="33"/>
      <c r="R227" s="30"/>
      <c r="S227" s="30"/>
      <c r="T227" s="30"/>
      <c r="U227" s="30"/>
      <c r="V227" s="30"/>
      <c r="W227" s="30"/>
    </row>
    <row r="228" customFormat="false" ht="69" hidden="false" customHeight="true" outlineLevel="0" collapsed="false">
      <c r="A228" s="23"/>
      <c r="B228" s="24" t="n">
        <v>46278</v>
      </c>
      <c r="C228" s="25"/>
      <c r="D228" s="26"/>
      <c r="E228" s="26"/>
      <c r="F228" s="22" t="n">
        <f aca="false">(D228-E228)*0.25</f>
        <v>-0</v>
      </c>
      <c r="G228" s="22" t="n">
        <f aca="false">(D228-E228)-F228</f>
        <v>0</v>
      </c>
      <c r="H228" s="27"/>
      <c r="I228" s="27"/>
      <c r="J228" s="28" t="n">
        <f aca="false">SUM(I228-H228)/10</f>
        <v>0</v>
      </c>
      <c r="K228" s="39"/>
      <c r="L228" s="29" t="str">
        <f aca="false">IF(AND(K228=0,J228=0),"",K228/J228)</f>
        <v/>
      </c>
      <c r="M228" s="30"/>
      <c r="N228" s="31"/>
      <c r="O228" s="30"/>
      <c r="P228" s="30"/>
      <c r="Q228" s="33"/>
      <c r="R228" s="30"/>
      <c r="S228" s="30"/>
      <c r="T228" s="30"/>
      <c r="U228" s="30"/>
      <c r="V228" s="30"/>
      <c r="W228" s="30"/>
    </row>
    <row r="229" customFormat="false" ht="69" hidden="false" customHeight="true" outlineLevel="0" collapsed="false">
      <c r="A229" s="23"/>
      <c r="B229" s="24" t="n">
        <v>46279</v>
      </c>
      <c r="C229" s="25"/>
      <c r="D229" s="26"/>
      <c r="E229" s="26"/>
      <c r="F229" s="22" t="n">
        <f aca="false">(D229-E229)*0.25</f>
        <v>-0</v>
      </c>
      <c r="G229" s="22" t="n">
        <f aca="false">(D229-E229)-F229</f>
        <v>0</v>
      </c>
      <c r="H229" s="27"/>
      <c r="I229" s="27"/>
      <c r="J229" s="28" t="n">
        <f aca="false">SUM(I229-H229)/10</f>
        <v>0</v>
      </c>
      <c r="K229" s="39"/>
      <c r="L229" s="29" t="str">
        <f aca="false">IF(AND(K229=0,J229=0),"",K229/J229)</f>
        <v/>
      </c>
      <c r="M229" s="30"/>
      <c r="N229" s="31"/>
      <c r="O229" s="30"/>
      <c r="P229" s="30"/>
      <c r="Q229" s="33"/>
      <c r="R229" s="30"/>
      <c r="S229" s="30"/>
      <c r="T229" s="30"/>
      <c r="U229" s="30"/>
      <c r="V229" s="30"/>
      <c r="W229" s="30"/>
    </row>
    <row r="230" customFormat="false" ht="69" hidden="false" customHeight="true" outlineLevel="0" collapsed="false">
      <c r="A230" s="23"/>
      <c r="B230" s="24" t="n">
        <v>46280</v>
      </c>
      <c r="C230" s="25"/>
      <c r="D230" s="26"/>
      <c r="E230" s="26"/>
      <c r="F230" s="22" t="n">
        <f aca="false">(D230-E230)*0.25</f>
        <v>-0</v>
      </c>
      <c r="G230" s="22" t="n">
        <f aca="false">(D230-E230)-F230</f>
        <v>0</v>
      </c>
      <c r="H230" s="27"/>
      <c r="I230" s="27"/>
      <c r="J230" s="28" t="n">
        <f aca="false">SUM(I230-H230)/10</f>
        <v>0</v>
      </c>
      <c r="K230" s="39"/>
      <c r="L230" s="29" t="str">
        <f aca="false">IF(AND(K230=0,J230=0),"",K230/J230)</f>
        <v/>
      </c>
      <c r="M230" s="30"/>
      <c r="N230" s="31"/>
      <c r="O230" s="30"/>
      <c r="P230" s="30"/>
      <c r="Q230" s="33"/>
      <c r="R230" s="30"/>
      <c r="S230" s="30"/>
      <c r="T230" s="30"/>
      <c r="U230" s="30"/>
      <c r="V230" s="30"/>
      <c r="W230" s="30"/>
    </row>
    <row r="231" customFormat="false" ht="69" hidden="false" customHeight="true" outlineLevel="0" collapsed="false">
      <c r="A231" s="23"/>
      <c r="B231" s="24" t="n">
        <v>46281</v>
      </c>
      <c r="C231" s="25"/>
      <c r="D231" s="26"/>
      <c r="E231" s="26"/>
      <c r="F231" s="22" t="n">
        <f aca="false">(D231-E231)*0.25</f>
        <v>-0</v>
      </c>
      <c r="G231" s="22" t="n">
        <f aca="false">(D231-E231)-F231</f>
        <v>0</v>
      </c>
      <c r="H231" s="27"/>
      <c r="I231" s="27"/>
      <c r="J231" s="28" t="n">
        <f aca="false">SUM(I231-H231)/10</f>
        <v>0</v>
      </c>
      <c r="K231" s="39"/>
      <c r="L231" s="29" t="str">
        <f aca="false">IF(AND(K231=0,J231=0),"",K231/J231)</f>
        <v/>
      </c>
      <c r="M231" s="30"/>
      <c r="N231" s="31"/>
      <c r="O231" s="30"/>
      <c r="P231" s="30"/>
      <c r="Q231" s="33"/>
      <c r="R231" s="30"/>
      <c r="S231" s="30"/>
      <c r="T231" s="30"/>
      <c r="U231" s="30"/>
      <c r="V231" s="30"/>
      <c r="W231" s="30"/>
    </row>
    <row r="232" customFormat="false" ht="69" hidden="false" customHeight="true" outlineLevel="0" collapsed="false">
      <c r="A232" s="23"/>
      <c r="B232" s="24" t="n">
        <v>46282</v>
      </c>
      <c r="C232" s="25"/>
      <c r="D232" s="26"/>
      <c r="E232" s="26"/>
      <c r="F232" s="22" t="n">
        <f aca="false">(D232-E232)*0.25</f>
        <v>-0</v>
      </c>
      <c r="G232" s="22" t="n">
        <f aca="false">(D232-E232)-F232</f>
        <v>0</v>
      </c>
      <c r="H232" s="27"/>
      <c r="I232" s="27"/>
      <c r="J232" s="28" t="n">
        <f aca="false">SUM(I232-H232)/10</f>
        <v>0</v>
      </c>
      <c r="K232" s="39"/>
      <c r="L232" s="29" t="str">
        <f aca="false">IF(AND(K232=0,J232=0),"",K232/J232)</f>
        <v/>
      </c>
      <c r="M232" s="30"/>
      <c r="N232" s="31"/>
      <c r="O232" s="30"/>
      <c r="P232" s="30"/>
      <c r="Q232" s="33"/>
      <c r="R232" s="30"/>
      <c r="S232" s="30"/>
      <c r="T232" s="30"/>
      <c r="U232" s="30"/>
      <c r="V232" s="30"/>
      <c r="W232" s="30"/>
    </row>
    <row r="233" customFormat="false" ht="69" hidden="false" customHeight="true" outlineLevel="0" collapsed="false">
      <c r="A233" s="23"/>
      <c r="B233" s="24" t="n">
        <v>46283</v>
      </c>
      <c r="C233" s="25"/>
      <c r="D233" s="26"/>
      <c r="E233" s="26"/>
      <c r="F233" s="22" t="n">
        <f aca="false">(D233-E233)*0.25</f>
        <v>-0</v>
      </c>
      <c r="G233" s="22" t="n">
        <f aca="false">(D233-E233)-F233</f>
        <v>0</v>
      </c>
      <c r="H233" s="27"/>
      <c r="I233" s="27"/>
      <c r="J233" s="28" t="n">
        <f aca="false">SUM(I233-H233)/10</f>
        <v>0</v>
      </c>
      <c r="K233" s="39"/>
      <c r="L233" s="29" t="str">
        <f aca="false">IF(AND(K233=0,J233=0),"",K233/J233)</f>
        <v/>
      </c>
      <c r="M233" s="30"/>
      <c r="N233" s="31"/>
      <c r="O233" s="30"/>
      <c r="P233" s="30"/>
      <c r="Q233" s="33"/>
      <c r="R233" s="30"/>
      <c r="S233" s="30"/>
      <c r="T233" s="30"/>
      <c r="U233" s="30"/>
      <c r="V233" s="30"/>
      <c r="W233" s="30"/>
    </row>
    <row r="234" customFormat="false" ht="69" hidden="false" customHeight="true" outlineLevel="0" collapsed="false">
      <c r="A234" s="23"/>
      <c r="B234" s="24" t="n">
        <v>46284</v>
      </c>
      <c r="C234" s="25"/>
      <c r="D234" s="26"/>
      <c r="E234" s="26"/>
      <c r="F234" s="22" t="n">
        <f aca="false">(D234-E234)*0.25</f>
        <v>-0</v>
      </c>
      <c r="G234" s="22" t="n">
        <f aca="false">(D234-E234)-F234</f>
        <v>0</v>
      </c>
      <c r="H234" s="27"/>
      <c r="I234" s="27"/>
      <c r="J234" s="28" t="n">
        <f aca="false">SUM(I234-H234)/10</f>
        <v>0</v>
      </c>
      <c r="K234" s="39"/>
      <c r="L234" s="29" t="str">
        <f aca="false">IF(AND(K234=0,J234=0),"",K234/J234)</f>
        <v/>
      </c>
      <c r="M234" s="30"/>
      <c r="N234" s="31"/>
      <c r="O234" s="30"/>
      <c r="P234" s="30"/>
      <c r="Q234" s="33"/>
      <c r="R234" s="30"/>
      <c r="S234" s="30"/>
      <c r="T234" s="30"/>
      <c r="U234" s="30"/>
      <c r="V234" s="30"/>
      <c r="W234" s="30"/>
    </row>
    <row r="235" customFormat="false" ht="69" hidden="false" customHeight="true" outlineLevel="0" collapsed="false">
      <c r="A235" s="23"/>
      <c r="B235" s="24" t="n">
        <v>46285</v>
      </c>
      <c r="C235" s="25"/>
      <c r="D235" s="26"/>
      <c r="E235" s="26"/>
      <c r="F235" s="22" t="n">
        <f aca="false">(D235-E235)*0.25</f>
        <v>-0</v>
      </c>
      <c r="G235" s="22" t="n">
        <f aca="false">(D235-E235)-F235</f>
        <v>0</v>
      </c>
      <c r="H235" s="27"/>
      <c r="I235" s="27"/>
      <c r="J235" s="28" t="n">
        <f aca="false">SUM(I235-H235)/10</f>
        <v>0</v>
      </c>
      <c r="K235" s="39"/>
      <c r="L235" s="29" t="str">
        <f aca="false">IF(AND(K235=0,J235=0),"",K235/J235)</f>
        <v/>
      </c>
      <c r="M235" s="30"/>
      <c r="N235" s="31"/>
      <c r="O235" s="30"/>
      <c r="P235" s="30"/>
      <c r="Q235" s="33"/>
      <c r="R235" s="30"/>
      <c r="S235" s="30"/>
      <c r="T235" s="30"/>
      <c r="U235" s="30"/>
      <c r="V235" s="30"/>
      <c r="W235" s="30"/>
    </row>
    <row r="236" customFormat="false" ht="69" hidden="false" customHeight="true" outlineLevel="0" collapsed="false">
      <c r="A236" s="23"/>
      <c r="B236" s="24" t="n">
        <v>46286</v>
      </c>
      <c r="C236" s="25"/>
      <c r="D236" s="26"/>
      <c r="E236" s="26"/>
      <c r="F236" s="22" t="n">
        <f aca="false">(D236-E236)*0.25</f>
        <v>-0</v>
      </c>
      <c r="G236" s="22" t="n">
        <f aca="false">(D236-E236)-F236</f>
        <v>0</v>
      </c>
      <c r="H236" s="27"/>
      <c r="I236" s="27"/>
      <c r="J236" s="28" t="n">
        <f aca="false">SUM(I236-H236)/10</f>
        <v>0</v>
      </c>
      <c r="K236" s="39"/>
      <c r="L236" s="29" t="str">
        <f aca="false">IF(AND(K236=0,J236=0),"",K236/J236)</f>
        <v/>
      </c>
      <c r="M236" s="30"/>
      <c r="N236" s="31"/>
      <c r="O236" s="30"/>
      <c r="P236" s="30"/>
      <c r="Q236" s="33"/>
      <c r="R236" s="30"/>
      <c r="S236" s="30"/>
      <c r="T236" s="30"/>
      <c r="U236" s="30"/>
      <c r="V236" s="30"/>
      <c r="W236" s="30"/>
    </row>
    <row r="237" customFormat="false" ht="69" hidden="false" customHeight="true" outlineLevel="0" collapsed="false">
      <c r="A237" s="23"/>
      <c r="B237" s="24" t="n">
        <v>46287</v>
      </c>
      <c r="C237" s="25"/>
      <c r="D237" s="26"/>
      <c r="E237" s="26"/>
      <c r="F237" s="22" t="n">
        <f aca="false">(D237-E237)*0.25</f>
        <v>-0</v>
      </c>
      <c r="G237" s="22" t="n">
        <f aca="false">(D237-E237)-F237</f>
        <v>0</v>
      </c>
      <c r="H237" s="27"/>
      <c r="I237" s="27"/>
      <c r="J237" s="28" t="n">
        <f aca="false">SUM(I237-H237)/10</f>
        <v>0</v>
      </c>
      <c r="K237" s="39"/>
      <c r="L237" s="29" t="str">
        <f aca="false">IF(AND(K237=0,J237=0),"",K237/J237)</f>
        <v/>
      </c>
      <c r="M237" s="30"/>
      <c r="N237" s="31"/>
      <c r="O237" s="30"/>
      <c r="P237" s="30"/>
      <c r="Q237" s="33"/>
      <c r="R237" s="30"/>
      <c r="S237" s="30"/>
      <c r="T237" s="30"/>
      <c r="U237" s="30"/>
      <c r="V237" s="30"/>
      <c r="W237" s="30"/>
    </row>
    <row r="238" customFormat="false" ht="69" hidden="false" customHeight="true" outlineLevel="0" collapsed="false">
      <c r="A238" s="23"/>
      <c r="B238" s="24" t="n">
        <v>46288</v>
      </c>
      <c r="C238" s="25"/>
      <c r="D238" s="26"/>
      <c r="E238" s="26"/>
      <c r="F238" s="22" t="n">
        <f aca="false">(D238-E238)*0.25</f>
        <v>-0</v>
      </c>
      <c r="G238" s="22" t="n">
        <f aca="false">(D238-E238)-F238</f>
        <v>0</v>
      </c>
      <c r="H238" s="27"/>
      <c r="I238" s="27"/>
      <c r="J238" s="28" t="n">
        <f aca="false">SUM(I238-H238)/10</f>
        <v>0</v>
      </c>
      <c r="K238" s="39"/>
      <c r="L238" s="29" t="str">
        <f aca="false">IF(AND(K238=0,J238=0),"",K238/J238)</f>
        <v/>
      </c>
      <c r="M238" s="30"/>
      <c r="N238" s="31"/>
      <c r="O238" s="30"/>
      <c r="P238" s="30"/>
      <c r="Q238" s="33"/>
      <c r="R238" s="30"/>
      <c r="S238" s="30"/>
      <c r="T238" s="30"/>
      <c r="U238" s="30"/>
      <c r="V238" s="30"/>
      <c r="W238" s="30"/>
    </row>
    <row r="239" customFormat="false" ht="69" hidden="false" customHeight="true" outlineLevel="0" collapsed="false">
      <c r="A239" s="23"/>
      <c r="B239" s="24" t="n">
        <v>46289</v>
      </c>
      <c r="C239" s="25"/>
      <c r="D239" s="26"/>
      <c r="E239" s="26"/>
      <c r="F239" s="22" t="n">
        <f aca="false">(D239-E239)*0.25</f>
        <v>-0</v>
      </c>
      <c r="G239" s="22" t="n">
        <f aca="false">(D239-E239)-F239</f>
        <v>0</v>
      </c>
      <c r="H239" s="27"/>
      <c r="I239" s="27"/>
      <c r="J239" s="28" t="n">
        <f aca="false">SUM(I239-H239)/10</f>
        <v>0</v>
      </c>
      <c r="K239" s="39"/>
      <c r="L239" s="29" t="str">
        <f aca="false">IF(AND(K239=0,J239=0),"",K239/J239)</f>
        <v/>
      </c>
      <c r="M239" s="30"/>
      <c r="N239" s="31"/>
      <c r="O239" s="30"/>
      <c r="P239" s="30"/>
      <c r="Q239" s="33"/>
      <c r="R239" s="30"/>
      <c r="S239" s="30"/>
      <c r="T239" s="30"/>
      <c r="U239" s="30"/>
      <c r="V239" s="30"/>
      <c r="W239" s="30"/>
    </row>
    <row r="240" customFormat="false" ht="69" hidden="false" customHeight="true" outlineLevel="0" collapsed="false">
      <c r="A240" s="23"/>
      <c r="B240" s="24" t="n">
        <v>46290</v>
      </c>
      <c r="C240" s="25"/>
      <c r="D240" s="26"/>
      <c r="E240" s="26"/>
      <c r="F240" s="22" t="n">
        <f aca="false">(D240-E240)*0.25</f>
        <v>-0</v>
      </c>
      <c r="G240" s="22" t="n">
        <f aca="false">(D240-E240)-F240</f>
        <v>0</v>
      </c>
      <c r="H240" s="27"/>
      <c r="I240" s="27"/>
      <c r="J240" s="28" t="n">
        <f aca="false">SUM(I240-H240)/10</f>
        <v>0</v>
      </c>
      <c r="K240" s="39"/>
      <c r="L240" s="29" t="str">
        <f aca="false">IF(AND(K240=0,J240=0),"",K240/J240)</f>
        <v/>
      </c>
      <c r="M240" s="30"/>
      <c r="N240" s="31"/>
      <c r="O240" s="30"/>
      <c r="P240" s="30"/>
      <c r="Q240" s="33"/>
      <c r="R240" s="30"/>
      <c r="S240" s="30"/>
      <c r="T240" s="30"/>
      <c r="U240" s="30"/>
      <c r="V240" s="30"/>
      <c r="W240" s="30"/>
    </row>
    <row r="241" customFormat="false" ht="69" hidden="false" customHeight="true" outlineLevel="0" collapsed="false">
      <c r="A241" s="23"/>
      <c r="B241" s="24" t="n">
        <v>46291</v>
      </c>
      <c r="C241" s="25"/>
      <c r="D241" s="26"/>
      <c r="E241" s="26"/>
      <c r="F241" s="22" t="n">
        <f aca="false">(D241-E241)*0.25</f>
        <v>-0</v>
      </c>
      <c r="G241" s="22" t="n">
        <f aca="false">(D241-E241)-F241</f>
        <v>0</v>
      </c>
      <c r="H241" s="27"/>
      <c r="I241" s="27"/>
      <c r="J241" s="28" t="n">
        <f aca="false">SUM(I241-H241)/10</f>
        <v>0</v>
      </c>
      <c r="K241" s="39"/>
      <c r="L241" s="29" t="str">
        <f aca="false">IF(AND(K241=0,J241=0),"",K241/J241)</f>
        <v/>
      </c>
      <c r="M241" s="30"/>
      <c r="N241" s="31"/>
      <c r="O241" s="30"/>
      <c r="P241" s="30"/>
      <c r="Q241" s="33"/>
      <c r="R241" s="30"/>
      <c r="S241" s="30"/>
      <c r="T241" s="30"/>
      <c r="U241" s="30"/>
      <c r="V241" s="30"/>
      <c r="W241" s="30"/>
    </row>
    <row r="242" customFormat="false" ht="69" hidden="false" customHeight="true" outlineLevel="0" collapsed="false">
      <c r="A242" s="23"/>
      <c r="B242" s="24" t="n">
        <v>46292</v>
      </c>
      <c r="C242" s="25"/>
      <c r="D242" s="26"/>
      <c r="E242" s="26"/>
      <c r="F242" s="22" t="n">
        <f aca="false">(D242-E242)*0.25</f>
        <v>-0</v>
      </c>
      <c r="G242" s="22" t="n">
        <f aca="false">(D242-E242)-F242</f>
        <v>0</v>
      </c>
      <c r="H242" s="27"/>
      <c r="I242" s="27"/>
      <c r="J242" s="28" t="n">
        <f aca="false">SUM(I242-H242)/10</f>
        <v>0</v>
      </c>
      <c r="K242" s="39"/>
      <c r="L242" s="29" t="str">
        <f aca="false">IF(AND(K242=0,J242=0),"",K242/J242)</f>
        <v/>
      </c>
      <c r="M242" s="30"/>
      <c r="N242" s="31"/>
      <c r="O242" s="30"/>
      <c r="P242" s="30"/>
      <c r="Q242" s="33"/>
      <c r="R242" s="30"/>
      <c r="S242" s="30"/>
      <c r="T242" s="30"/>
      <c r="U242" s="30"/>
      <c r="V242" s="30"/>
      <c r="W242" s="30"/>
    </row>
    <row r="243" customFormat="false" ht="69" hidden="false" customHeight="true" outlineLevel="0" collapsed="false">
      <c r="A243" s="23"/>
      <c r="B243" s="24" t="n">
        <v>46293</v>
      </c>
      <c r="C243" s="25"/>
      <c r="D243" s="26"/>
      <c r="E243" s="26"/>
      <c r="F243" s="22" t="n">
        <f aca="false">(D243-E243)*0.25</f>
        <v>-0</v>
      </c>
      <c r="G243" s="22" t="n">
        <f aca="false">(D243-E243)-F243</f>
        <v>0</v>
      </c>
      <c r="H243" s="27"/>
      <c r="I243" s="27"/>
      <c r="J243" s="28" t="n">
        <f aca="false">SUM(I243-H243)/10</f>
        <v>0</v>
      </c>
      <c r="K243" s="39"/>
      <c r="L243" s="29" t="str">
        <f aca="false">IF(AND(K243=0,J243=0),"",K243/J243)</f>
        <v/>
      </c>
      <c r="M243" s="30"/>
      <c r="N243" s="31"/>
      <c r="O243" s="30"/>
      <c r="P243" s="30"/>
      <c r="Q243" s="33"/>
      <c r="R243" s="30"/>
      <c r="S243" s="30"/>
      <c r="T243" s="30"/>
      <c r="U243" s="30"/>
      <c r="V243" s="30"/>
      <c r="W243" s="30"/>
    </row>
    <row r="244" customFormat="false" ht="69" hidden="false" customHeight="true" outlineLevel="0" collapsed="false">
      <c r="A244" s="23"/>
      <c r="B244" s="24" t="n">
        <v>46294</v>
      </c>
      <c r="C244" s="25"/>
      <c r="D244" s="26"/>
      <c r="E244" s="26"/>
      <c r="F244" s="22" t="n">
        <f aca="false">(D244-E244)*0.25</f>
        <v>-0</v>
      </c>
      <c r="G244" s="22" t="n">
        <f aca="false">(D244-E244)-F244</f>
        <v>0</v>
      </c>
      <c r="H244" s="27"/>
      <c r="I244" s="27"/>
      <c r="J244" s="28" t="n">
        <f aca="false">SUM(I244-H244)/10</f>
        <v>0</v>
      </c>
      <c r="K244" s="39"/>
      <c r="L244" s="29" t="str">
        <f aca="false">IF(AND(K244=0,J244=0),"",K244/J244)</f>
        <v/>
      </c>
      <c r="M244" s="30"/>
      <c r="N244" s="31"/>
      <c r="O244" s="30"/>
      <c r="P244" s="30"/>
      <c r="Q244" s="33"/>
      <c r="R244" s="30"/>
      <c r="S244" s="30"/>
      <c r="T244" s="30"/>
      <c r="U244" s="30"/>
      <c r="V244" s="30"/>
      <c r="W244" s="30"/>
    </row>
    <row r="245" customFormat="false" ht="69" hidden="false" customHeight="true" outlineLevel="0" collapsed="false">
      <c r="A245" s="23"/>
      <c r="B245" s="24" t="n">
        <v>46295</v>
      </c>
      <c r="C245" s="25"/>
      <c r="D245" s="26"/>
      <c r="E245" s="26"/>
      <c r="F245" s="22" t="n">
        <f aca="false">(D245-E245)*0.25</f>
        <v>-0</v>
      </c>
      <c r="G245" s="22" t="n">
        <f aca="false">(D245-E245)-F245</f>
        <v>0</v>
      </c>
      <c r="H245" s="27"/>
      <c r="I245" s="27"/>
      <c r="J245" s="28" t="n">
        <f aca="false">SUM(I245-H245)/10</f>
        <v>0</v>
      </c>
      <c r="K245" s="39"/>
      <c r="L245" s="29" t="str">
        <f aca="false">IF(AND(K245=0,J245=0),"",K245/J245)</f>
        <v/>
      </c>
      <c r="M245" s="30"/>
      <c r="N245" s="31"/>
      <c r="O245" s="30"/>
      <c r="P245" s="30"/>
      <c r="Q245" s="33"/>
      <c r="R245" s="30"/>
      <c r="S245" s="30"/>
      <c r="T245" s="30"/>
      <c r="U245" s="30"/>
      <c r="V245" s="30"/>
      <c r="W245" s="30"/>
    </row>
    <row r="246" customFormat="false" ht="69" hidden="false" customHeight="true" outlineLevel="0" collapsed="false">
      <c r="A246" s="23"/>
      <c r="B246" s="24" t="n">
        <v>46296</v>
      </c>
      <c r="C246" s="25"/>
      <c r="D246" s="26"/>
      <c r="E246" s="26"/>
      <c r="F246" s="22" t="n">
        <f aca="false">(D246-E246)*0.25</f>
        <v>-0</v>
      </c>
      <c r="G246" s="22" t="n">
        <f aca="false">(D246-E246)-F246</f>
        <v>0</v>
      </c>
      <c r="H246" s="27"/>
      <c r="I246" s="27"/>
      <c r="J246" s="28" t="n">
        <f aca="false">SUM(I246-H246)/10</f>
        <v>0</v>
      </c>
      <c r="K246" s="39"/>
      <c r="L246" s="29" t="str">
        <f aca="false">IF(AND(K246=0,J246=0),"",K246/J246)</f>
        <v/>
      </c>
      <c r="M246" s="30"/>
      <c r="N246" s="31"/>
      <c r="O246" s="30"/>
      <c r="P246" s="30"/>
      <c r="Q246" s="33"/>
      <c r="R246" s="30"/>
      <c r="S246" s="30"/>
      <c r="T246" s="30"/>
      <c r="U246" s="30"/>
      <c r="V246" s="30"/>
      <c r="W246" s="30"/>
    </row>
    <row r="247" customFormat="false" ht="69" hidden="false" customHeight="true" outlineLevel="0" collapsed="false">
      <c r="A247" s="23"/>
      <c r="B247" s="24" t="n">
        <v>46297</v>
      </c>
      <c r="C247" s="25"/>
      <c r="D247" s="26"/>
      <c r="E247" s="26"/>
      <c r="F247" s="22" t="n">
        <f aca="false">(D247-E247)*0.25</f>
        <v>-0</v>
      </c>
      <c r="G247" s="22" t="n">
        <f aca="false">(D247-E247)-F247</f>
        <v>0</v>
      </c>
      <c r="H247" s="27"/>
      <c r="I247" s="27"/>
      <c r="J247" s="28" t="n">
        <f aca="false">SUM(I247-H247)/10</f>
        <v>0</v>
      </c>
      <c r="K247" s="39"/>
      <c r="L247" s="29" t="str">
        <f aca="false">IF(AND(K247=0,J247=0),"",K247/J247)</f>
        <v/>
      </c>
      <c r="M247" s="30"/>
      <c r="N247" s="31"/>
      <c r="O247" s="30"/>
      <c r="P247" s="30"/>
      <c r="Q247" s="33"/>
      <c r="R247" s="30"/>
      <c r="S247" s="30"/>
      <c r="T247" s="30"/>
      <c r="U247" s="30"/>
      <c r="V247" s="30"/>
      <c r="W247" s="30"/>
    </row>
    <row r="248" customFormat="false" ht="69" hidden="false" customHeight="true" outlineLevel="0" collapsed="false">
      <c r="A248" s="23"/>
      <c r="B248" s="24" t="n">
        <v>46298</v>
      </c>
      <c r="C248" s="25"/>
      <c r="D248" s="26"/>
      <c r="E248" s="26"/>
      <c r="F248" s="22" t="n">
        <f aca="false">(D248-E248)*0.25</f>
        <v>-0</v>
      </c>
      <c r="G248" s="22" t="n">
        <f aca="false">(D248-E248)-F248</f>
        <v>0</v>
      </c>
      <c r="H248" s="27"/>
      <c r="I248" s="27"/>
      <c r="J248" s="28" t="n">
        <f aca="false">SUM(I248-H248)/10</f>
        <v>0</v>
      </c>
      <c r="K248" s="39"/>
      <c r="L248" s="29" t="str">
        <f aca="false">IF(AND(K248=0,J248=0),"",K248/J248)</f>
        <v/>
      </c>
      <c r="M248" s="30"/>
      <c r="N248" s="31"/>
      <c r="O248" s="30"/>
      <c r="P248" s="30"/>
      <c r="Q248" s="33"/>
      <c r="R248" s="30"/>
      <c r="S248" s="30"/>
      <c r="T248" s="30"/>
      <c r="U248" s="30"/>
      <c r="V248" s="30"/>
      <c r="W248" s="30"/>
    </row>
    <row r="249" customFormat="false" ht="69" hidden="false" customHeight="true" outlineLevel="0" collapsed="false">
      <c r="A249" s="23"/>
      <c r="B249" s="24" t="n">
        <v>46299</v>
      </c>
      <c r="C249" s="25"/>
      <c r="D249" s="26"/>
      <c r="E249" s="26"/>
      <c r="F249" s="22" t="n">
        <f aca="false">(D249-E249)*0.25</f>
        <v>-0</v>
      </c>
      <c r="G249" s="22" t="n">
        <f aca="false">(D249-E249)-F249</f>
        <v>0</v>
      </c>
      <c r="H249" s="27"/>
      <c r="I249" s="27"/>
      <c r="J249" s="28" t="n">
        <f aca="false">SUM(I249-H249)/10</f>
        <v>0</v>
      </c>
      <c r="K249" s="39"/>
      <c r="L249" s="29" t="str">
        <f aca="false">IF(AND(K249=0,J249=0),"",K249/J249)</f>
        <v/>
      </c>
      <c r="M249" s="30"/>
      <c r="N249" s="31"/>
      <c r="O249" s="30"/>
      <c r="P249" s="30"/>
      <c r="Q249" s="33"/>
      <c r="R249" s="30"/>
      <c r="S249" s="30"/>
      <c r="T249" s="30"/>
      <c r="U249" s="30"/>
      <c r="V249" s="30"/>
      <c r="W249" s="30"/>
    </row>
    <row r="250" customFormat="false" ht="69" hidden="false" customHeight="true" outlineLevel="0" collapsed="false">
      <c r="A250" s="23"/>
      <c r="B250" s="24" t="n">
        <v>46300</v>
      </c>
      <c r="C250" s="25"/>
      <c r="D250" s="26"/>
      <c r="E250" s="26"/>
      <c r="F250" s="22" t="n">
        <f aca="false">(D250-E250)*0.25</f>
        <v>-0</v>
      </c>
      <c r="G250" s="22" t="n">
        <f aca="false">(D250-E250)-F250</f>
        <v>0</v>
      </c>
      <c r="H250" s="27"/>
      <c r="I250" s="27"/>
      <c r="J250" s="28" t="n">
        <f aca="false">SUM(I250-H250)/10</f>
        <v>0</v>
      </c>
      <c r="K250" s="39"/>
      <c r="L250" s="29" t="str">
        <f aca="false">IF(AND(K250=0,J250=0),"",K250/J250)</f>
        <v/>
      </c>
      <c r="M250" s="30"/>
      <c r="N250" s="31"/>
      <c r="O250" s="30"/>
      <c r="P250" s="30"/>
      <c r="Q250" s="33"/>
      <c r="R250" s="30"/>
      <c r="S250" s="30"/>
      <c r="T250" s="30"/>
      <c r="U250" s="30"/>
      <c r="V250" s="30"/>
      <c r="W250" s="30"/>
    </row>
    <row r="251" customFormat="false" ht="69" hidden="false" customHeight="true" outlineLevel="0" collapsed="false">
      <c r="A251" s="23"/>
      <c r="B251" s="24" t="n">
        <v>46301</v>
      </c>
      <c r="C251" s="25"/>
      <c r="D251" s="26"/>
      <c r="E251" s="26"/>
      <c r="F251" s="22" t="n">
        <f aca="false">(D251-E251)*0.25</f>
        <v>-0</v>
      </c>
      <c r="G251" s="22" t="n">
        <f aca="false">(D251-E251)-F251</f>
        <v>0</v>
      </c>
      <c r="H251" s="27"/>
      <c r="I251" s="27"/>
      <c r="J251" s="28" t="n">
        <f aca="false">SUM(I251-H251)/10</f>
        <v>0</v>
      </c>
      <c r="K251" s="39"/>
      <c r="L251" s="29" t="str">
        <f aca="false">IF(AND(K251=0,J251=0),"",K251/J251)</f>
        <v/>
      </c>
      <c r="M251" s="30"/>
      <c r="N251" s="31"/>
      <c r="O251" s="30"/>
      <c r="P251" s="30"/>
      <c r="Q251" s="33"/>
      <c r="R251" s="30"/>
      <c r="S251" s="30"/>
      <c r="T251" s="30"/>
      <c r="U251" s="30"/>
      <c r="V251" s="30"/>
      <c r="W251" s="30"/>
    </row>
    <row r="252" customFormat="false" ht="69" hidden="false" customHeight="true" outlineLevel="0" collapsed="false">
      <c r="A252" s="23"/>
      <c r="B252" s="24" t="n">
        <v>46302</v>
      </c>
      <c r="C252" s="25"/>
      <c r="D252" s="26"/>
      <c r="E252" s="26"/>
      <c r="F252" s="22" t="n">
        <f aca="false">(D252-E252)*0.25</f>
        <v>-0</v>
      </c>
      <c r="G252" s="22" t="n">
        <f aca="false">(D252-E252)-F252</f>
        <v>0</v>
      </c>
      <c r="H252" s="27"/>
      <c r="I252" s="27"/>
      <c r="J252" s="28" t="n">
        <f aca="false">SUM(I252-H252)/10</f>
        <v>0</v>
      </c>
      <c r="K252" s="39"/>
      <c r="L252" s="29" t="str">
        <f aca="false">IF(AND(K252=0,J252=0),"",K252/J252)</f>
        <v/>
      </c>
      <c r="M252" s="30"/>
      <c r="N252" s="31"/>
      <c r="O252" s="30"/>
      <c r="P252" s="30"/>
      <c r="Q252" s="33"/>
      <c r="R252" s="30"/>
      <c r="S252" s="30"/>
      <c r="T252" s="30"/>
      <c r="U252" s="30"/>
      <c r="V252" s="30"/>
      <c r="W252" s="30"/>
    </row>
    <row r="253" customFormat="false" ht="69" hidden="false" customHeight="true" outlineLevel="0" collapsed="false">
      <c r="A253" s="23"/>
      <c r="B253" s="24" t="n">
        <v>46303</v>
      </c>
      <c r="C253" s="25"/>
      <c r="D253" s="26"/>
      <c r="E253" s="26"/>
      <c r="F253" s="22" t="n">
        <f aca="false">(D253-E253)*0.25</f>
        <v>-0</v>
      </c>
      <c r="G253" s="22" t="n">
        <f aca="false">(D253-E253)-F253</f>
        <v>0</v>
      </c>
      <c r="H253" s="27"/>
      <c r="I253" s="27"/>
      <c r="J253" s="28" t="n">
        <f aca="false">SUM(I253-H253)/10</f>
        <v>0</v>
      </c>
      <c r="K253" s="39"/>
      <c r="L253" s="29" t="str">
        <f aca="false">IF(AND(K253=0,J253=0),"",K253/J253)</f>
        <v/>
      </c>
      <c r="M253" s="30"/>
      <c r="N253" s="31"/>
      <c r="O253" s="30"/>
      <c r="P253" s="30"/>
      <c r="Q253" s="33"/>
      <c r="R253" s="30"/>
      <c r="S253" s="30"/>
      <c r="T253" s="30"/>
      <c r="U253" s="30"/>
      <c r="V253" s="30"/>
      <c r="W253" s="30"/>
    </row>
    <row r="254" customFormat="false" ht="69" hidden="false" customHeight="true" outlineLevel="0" collapsed="false">
      <c r="A254" s="23"/>
      <c r="B254" s="24" t="n">
        <v>46304</v>
      </c>
      <c r="C254" s="25"/>
      <c r="D254" s="26"/>
      <c r="E254" s="26"/>
      <c r="F254" s="22" t="n">
        <f aca="false">(D254-E254)*0.25</f>
        <v>-0</v>
      </c>
      <c r="G254" s="22" t="n">
        <f aca="false">(D254-E254)-F254</f>
        <v>0</v>
      </c>
      <c r="H254" s="27"/>
      <c r="I254" s="27"/>
      <c r="J254" s="28" t="n">
        <f aca="false">SUM(I254-H254)/10</f>
        <v>0</v>
      </c>
      <c r="K254" s="39"/>
      <c r="L254" s="29" t="str">
        <f aca="false">IF(AND(K254=0,J254=0),"",K254/J254)</f>
        <v/>
      </c>
      <c r="M254" s="30"/>
      <c r="N254" s="31"/>
      <c r="O254" s="30"/>
      <c r="P254" s="30"/>
      <c r="Q254" s="33"/>
      <c r="R254" s="30"/>
      <c r="S254" s="30"/>
      <c r="T254" s="30"/>
      <c r="U254" s="30"/>
      <c r="V254" s="30"/>
      <c r="W254" s="30"/>
    </row>
    <row r="255" customFormat="false" ht="69" hidden="false" customHeight="true" outlineLevel="0" collapsed="false">
      <c r="A255" s="23"/>
      <c r="B255" s="24" t="n">
        <v>46305</v>
      </c>
      <c r="C255" s="25"/>
      <c r="D255" s="26"/>
      <c r="E255" s="26"/>
      <c r="F255" s="22" t="n">
        <f aca="false">(D255-E255)*0.25</f>
        <v>-0</v>
      </c>
      <c r="G255" s="22" t="n">
        <f aca="false">(D255-E255)-F255</f>
        <v>0</v>
      </c>
      <c r="H255" s="27"/>
      <c r="I255" s="27"/>
      <c r="J255" s="28" t="n">
        <f aca="false">SUM(I255-H255)/10</f>
        <v>0</v>
      </c>
      <c r="K255" s="39"/>
      <c r="L255" s="29" t="str">
        <f aca="false">IF(AND(K255=0,J255=0),"",K255/J255)</f>
        <v/>
      </c>
      <c r="M255" s="30"/>
      <c r="N255" s="31"/>
      <c r="O255" s="30"/>
      <c r="P255" s="30"/>
      <c r="Q255" s="33"/>
      <c r="R255" s="30"/>
      <c r="S255" s="30"/>
      <c r="T255" s="30"/>
      <c r="U255" s="30"/>
      <c r="V255" s="30"/>
      <c r="W255" s="30"/>
    </row>
    <row r="256" customFormat="false" ht="69" hidden="false" customHeight="true" outlineLevel="0" collapsed="false">
      <c r="A256" s="23"/>
      <c r="B256" s="24" t="n">
        <v>46306</v>
      </c>
      <c r="C256" s="25"/>
      <c r="D256" s="26"/>
      <c r="E256" s="26"/>
      <c r="F256" s="22" t="n">
        <f aca="false">(D256-E256)*0.25</f>
        <v>-0</v>
      </c>
      <c r="G256" s="22" t="n">
        <f aca="false">(D256-E256)-F256</f>
        <v>0</v>
      </c>
      <c r="H256" s="27"/>
      <c r="I256" s="27"/>
      <c r="J256" s="28" t="n">
        <f aca="false">SUM(I256-H256)/10</f>
        <v>0</v>
      </c>
      <c r="K256" s="39"/>
      <c r="L256" s="29" t="str">
        <f aca="false">IF(AND(K256=0,J256=0),"",K256/J256)</f>
        <v/>
      </c>
      <c r="M256" s="30"/>
      <c r="N256" s="31"/>
      <c r="O256" s="30"/>
      <c r="P256" s="30"/>
      <c r="Q256" s="33"/>
      <c r="R256" s="30"/>
      <c r="S256" s="30"/>
      <c r="T256" s="30"/>
      <c r="U256" s="30"/>
      <c r="V256" s="30"/>
      <c r="W256" s="30"/>
    </row>
    <row r="257" customFormat="false" ht="69" hidden="false" customHeight="true" outlineLevel="0" collapsed="false">
      <c r="A257" s="23"/>
      <c r="B257" s="24" t="n">
        <v>46307</v>
      </c>
      <c r="C257" s="25"/>
      <c r="D257" s="26"/>
      <c r="E257" s="26"/>
      <c r="F257" s="22" t="n">
        <f aca="false">(D257-E257)*0.25</f>
        <v>-0</v>
      </c>
      <c r="G257" s="22" t="n">
        <f aca="false">(D257-E257)-F257</f>
        <v>0</v>
      </c>
      <c r="H257" s="27"/>
      <c r="I257" s="27"/>
      <c r="J257" s="28" t="n">
        <f aca="false">SUM(I257-H257)/10</f>
        <v>0</v>
      </c>
      <c r="K257" s="39"/>
      <c r="L257" s="29" t="str">
        <f aca="false">IF(AND(K257=0,J257=0),"",K257/J257)</f>
        <v/>
      </c>
      <c r="M257" s="30"/>
      <c r="N257" s="31"/>
      <c r="O257" s="30"/>
      <c r="P257" s="30"/>
      <c r="Q257" s="33"/>
      <c r="R257" s="30"/>
      <c r="S257" s="30"/>
      <c r="T257" s="30"/>
      <c r="U257" s="30"/>
      <c r="V257" s="30"/>
      <c r="W257" s="30"/>
    </row>
    <row r="258" customFormat="false" ht="69" hidden="false" customHeight="true" outlineLevel="0" collapsed="false">
      <c r="A258" s="23"/>
      <c r="B258" s="24" t="n">
        <v>46308</v>
      </c>
      <c r="C258" s="25"/>
      <c r="D258" s="26"/>
      <c r="E258" s="26"/>
      <c r="F258" s="22" t="n">
        <f aca="false">(D258-E258)*0.25</f>
        <v>-0</v>
      </c>
      <c r="G258" s="22" t="n">
        <f aca="false">(D258-E258)-F258</f>
        <v>0</v>
      </c>
      <c r="H258" s="27"/>
      <c r="I258" s="27"/>
      <c r="J258" s="28" t="n">
        <f aca="false">SUM(I258-H258)/10</f>
        <v>0</v>
      </c>
      <c r="K258" s="39"/>
      <c r="L258" s="29" t="str">
        <f aca="false">IF(AND(K258=0,J258=0),"",K258/J258)</f>
        <v/>
      </c>
      <c r="M258" s="30"/>
      <c r="N258" s="31"/>
      <c r="O258" s="30"/>
      <c r="P258" s="30"/>
      <c r="Q258" s="33"/>
      <c r="R258" s="30"/>
      <c r="S258" s="30"/>
      <c r="T258" s="30"/>
      <c r="U258" s="30"/>
      <c r="V258" s="30"/>
      <c r="W258" s="30"/>
    </row>
    <row r="259" customFormat="false" ht="69" hidden="false" customHeight="true" outlineLevel="0" collapsed="false">
      <c r="A259" s="23"/>
      <c r="B259" s="24" t="n">
        <v>46309</v>
      </c>
      <c r="C259" s="25"/>
      <c r="D259" s="26"/>
      <c r="E259" s="26"/>
      <c r="F259" s="22" t="n">
        <f aca="false">(D259-E259)*0.25</f>
        <v>-0</v>
      </c>
      <c r="G259" s="22" t="n">
        <f aca="false">(D259-E259)-F259</f>
        <v>0</v>
      </c>
      <c r="H259" s="27"/>
      <c r="I259" s="27"/>
      <c r="J259" s="28" t="n">
        <f aca="false">SUM(I259-H259)/10</f>
        <v>0</v>
      </c>
      <c r="K259" s="39"/>
      <c r="L259" s="29" t="str">
        <f aca="false">IF(AND(K259=0,J259=0),"",K259/J259)</f>
        <v/>
      </c>
      <c r="M259" s="30"/>
      <c r="N259" s="31"/>
      <c r="O259" s="30"/>
      <c r="P259" s="30"/>
      <c r="Q259" s="33"/>
      <c r="R259" s="30"/>
      <c r="S259" s="30"/>
      <c r="T259" s="30"/>
      <c r="U259" s="30"/>
      <c r="V259" s="30"/>
      <c r="W259" s="30"/>
    </row>
    <row r="260" customFormat="false" ht="30.65" hidden="false" customHeight="true" outlineLevel="0" collapsed="false">
      <c r="A260" s="40"/>
      <c r="B260" s="24" t="n">
        <v>46310</v>
      </c>
      <c r="C260" s="40"/>
      <c r="D260" s="41"/>
      <c r="E260" s="41"/>
      <c r="H260" s="42"/>
      <c r="I260" s="42"/>
      <c r="J260" s="28" t="n">
        <f aca="false">SUM(I260-H260)/10</f>
        <v>0</v>
      </c>
      <c r="M260" s="30"/>
      <c r="N260" s="31"/>
      <c r="O260" s="30"/>
      <c r="P260" s="30"/>
      <c r="Q260" s="33"/>
      <c r="R260" s="30"/>
      <c r="S260" s="30"/>
      <c r="T260" s="30"/>
      <c r="U260" s="30"/>
      <c r="V260" s="30"/>
      <c r="W260" s="30"/>
    </row>
    <row r="261" customFormat="false" ht="30.65" hidden="false" customHeight="true" outlineLevel="0" collapsed="false">
      <c r="A261" s="40"/>
      <c r="B261" s="24" t="n">
        <v>46311</v>
      </c>
      <c r="C261" s="40"/>
      <c r="D261" s="41"/>
      <c r="E261" s="41"/>
      <c r="H261" s="42"/>
      <c r="I261" s="42"/>
      <c r="J261" s="28" t="n">
        <f aca="false">SUM(I261-H261)/10</f>
        <v>0</v>
      </c>
      <c r="M261" s="30"/>
      <c r="N261" s="31"/>
      <c r="O261" s="30"/>
      <c r="P261" s="30"/>
      <c r="Q261" s="33"/>
      <c r="R261" s="30"/>
      <c r="S261" s="30"/>
      <c r="T261" s="30"/>
      <c r="U261" s="30"/>
      <c r="V261" s="30"/>
      <c r="W261" s="30"/>
    </row>
    <row r="262" customFormat="false" ht="30.65" hidden="false" customHeight="true" outlineLevel="0" collapsed="false">
      <c r="A262" s="40"/>
      <c r="B262" s="24" t="n">
        <v>46312</v>
      </c>
      <c r="C262" s="40"/>
      <c r="D262" s="41"/>
      <c r="E262" s="41"/>
      <c r="H262" s="42"/>
      <c r="I262" s="42"/>
      <c r="J262" s="28" t="n">
        <f aca="false">SUM(I262-H262)/10</f>
        <v>0</v>
      </c>
      <c r="M262" s="30"/>
      <c r="N262" s="31"/>
      <c r="O262" s="30"/>
      <c r="P262" s="30"/>
      <c r="Q262" s="33"/>
      <c r="R262" s="30"/>
      <c r="S262" s="30"/>
      <c r="T262" s="30"/>
      <c r="U262" s="30"/>
      <c r="V262" s="30"/>
      <c r="W262" s="30"/>
    </row>
    <row r="263" customFormat="false" ht="30.65" hidden="false" customHeight="true" outlineLevel="0" collapsed="false">
      <c r="A263" s="40"/>
      <c r="B263" s="24" t="n">
        <v>46313</v>
      </c>
      <c r="C263" s="40"/>
      <c r="D263" s="41"/>
      <c r="E263" s="41"/>
      <c r="H263" s="42"/>
      <c r="I263" s="42"/>
      <c r="J263" s="28" t="n">
        <f aca="false">SUM(I263-H263)/10</f>
        <v>0</v>
      </c>
      <c r="M263" s="30"/>
      <c r="N263" s="31"/>
      <c r="O263" s="30"/>
      <c r="P263" s="30"/>
      <c r="Q263" s="33"/>
      <c r="R263" s="30"/>
      <c r="S263" s="30"/>
      <c r="T263" s="30"/>
      <c r="U263" s="30"/>
      <c r="V263" s="30"/>
      <c r="W263" s="30"/>
    </row>
    <row r="264" customFormat="false" ht="30.65" hidden="false" customHeight="true" outlineLevel="0" collapsed="false">
      <c r="A264" s="40"/>
      <c r="B264" s="24" t="n">
        <v>46314</v>
      </c>
      <c r="C264" s="40"/>
      <c r="D264" s="41"/>
      <c r="E264" s="41"/>
      <c r="H264" s="42"/>
      <c r="I264" s="42"/>
      <c r="J264" s="28" t="n">
        <f aca="false">SUM(I264-H264)/10</f>
        <v>0</v>
      </c>
      <c r="M264" s="30"/>
      <c r="N264" s="31"/>
      <c r="O264" s="30"/>
      <c r="P264" s="30"/>
      <c r="Q264" s="33"/>
      <c r="R264" s="30"/>
      <c r="S264" s="30"/>
      <c r="T264" s="30"/>
      <c r="U264" s="30"/>
      <c r="V264" s="30"/>
      <c r="W264" s="30"/>
    </row>
    <row r="265" customFormat="false" ht="30.65" hidden="false" customHeight="true" outlineLevel="0" collapsed="false">
      <c r="A265" s="40"/>
      <c r="B265" s="24" t="n">
        <v>46315</v>
      </c>
      <c r="C265" s="40"/>
      <c r="D265" s="41"/>
      <c r="E265" s="41"/>
      <c r="H265" s="42"/>
      <c r="I265" s="42"/>
      <c r="J265" s="28" t="n">
        <f aca="false">SUM(I265-H265)/10</f>
        <v>0</v>
      </c>
      <c r="M265" s="30"/>
      <c r="N265" s="31"/>
      <c r="O265" s="30"/>
      <c r="P265" s="30"/>
      <c r="Q265" s="33"/>
      <c r="R265" s="30"/>
      <c r="S265" s="30"/>
      <c r="T265" s="30"/>
      <c r="U265" s="30"/>
      <c r="V265" s="30"/>
      <c r="W265" s="30"/>
    </row>
    <row r="266" customFormat="false" ht="30.65" hidden="false" customHeight="true" outlineLevel="0" collapsed="false">
      <c r="A266" s="40"/>
      <c r="B266" s="24" t="n">
        <v>46316</v>
      </c>
      <c r="C266" s="40"/>
      <c r="D266" s="41"/>
      <c r="E266" s="41"/>
      <c r="H266" s="42"/>
      <c r="I266" s="42"/>
      <c r="J266" s="28" t="n">
        <f aca="false">SUM(I266-H266)/10</f>
        <v>0</v>
      </c>
      <c r="M266" s="30"/>
      <c r="N266" s="31"/>
      <c r="O266" s="30"/>
      <c r="P266" s="30"/>
      <c r="Q266" s="33"/>
      <c r="R266" s="30"/>
      <c r="S266" s="30"/>
      <c r="T266" s="30"/>
      <c r="U266" s="30"/>
      <c r="V266" s="30"/>
      <c r="W266" s="30"/>
    </row>
    <row r="267" customFormat="false" ht="30.65" hidden="false" customHeight="true" outlineLevel="0" collapsed="false">
      <c r="A267" s="40"/>
      <c r="B267" s="24" t="n">
        <v>46317</v>
      </c>
      <c r="C267" s="40"/>
      <c r="D267" s="41"/>
      <c r="E267" s="41"/>
      <c r="H267" s="42"/>
      <c r="I267" s="42"/>
      <c r="J267" s="28" t="n">
        <f aca="false">SUM(I267-H267)/10</f>
        <v>0</v>
      </c>
      <c r="M267" s="30"/>
      <c r="N267" s="31"/>
      <c r="O267" s="30"/>
      <c r="P267" s="30"/>
      <c r="Q267" s="33"/>
      <c r="R267" s="30"/>
      <c r="S267" s="30"/>
      <c r="T267" s="30"/>
      <c r="U267" s="30"/>
      <c r="V267" s="30"/>
      <c r="W267" s="30"/>
    </row>
    <row r="268" customFormat="false" ht="30.65" hidden="false" customHeight="true" outlineLevel="0" collapsed="false">
      <c r="B268" s="24" t="n">
        <v>46318</v>
      </c>
      <c r="H268" s="42"/>
      <c r="I268" s="42"/>
      <c r="J268" s="28" t="n">
        <f aca="false">SUM(I268-H268)/10</f>
        <v>0</v>
      </c>
      <c r="M268" s="30"/>
      <c r="N268" s="31"/>
      <c r="O268" s="30"/>
      <c r="P268" s="30"/>
      <c r="Q268" s="33"/>
      <c r="R268" s="30"/>
      <c r="S268" s="30"/>
      <c r="T268" s="30"/>
      <c r="U268" s="30"/>
      <c r="V268" s="30"/>
      <c r="W268" s="30"/>
    </row>
    <row r="269" customFormat="false" ht="30.65" hidden="false" customHeight="true" outlineLevel="0" collapsed="false">
      <c r="B269" s="24" t="n">
        <v>46319</v>
      </c>
      <c r="H269" s="42"/>
      <c r="I269" s="42"/>
      <c r="J269" s="28" t="n">
        <f aca="false">SUM(I269-H269)/10</f>
        <v>0</v>
      </c>
      <c r="M269" s="30"/>
      <c r="N269" s="31"/>
      <c r="O269" s="30"/>
      <c r="P269" s="30"/>
      <c r="Q269" s="33"/>
      <c r="R269" s="30"/>
      <c r="S269" s="30"/>
      <c r="T269" s="30"/>
      <c r="U269" s="30"/>
      <c r="V269" s="30"/>
      <c r="W269" s="30"/>
    </row>
    <row r="270" customFormat="false" ht="30.65" hidden="false" customHeight="true" outlineLevel="0" collapsed="false">
      <c r="B270" s="24" t="n">
        <v>46320</v>
      </c>
      <c r="H270" s="42"/>
      <c r="I270" s="42"/>
      <c r="J270" s="28" t="n">
        <f aca="false">SUM(I270-H270)/10</f>
        <v>0</v>
      </c>
      <c r="M270" s="30"/>
      <c r="N270" s="31"/>
      <c r="O270" s="30"/>
      <c r="P270" s="30"/>
      <c r="Q270" s="33"/>
      <c r="R270" s="30"/>
      <c r="S270" s="30"/>
      <c r="T270" s="30"/>
      <c r="U270" s="30"/>
      <c r="V270" s="30"/>
      <c r="W270" s="30"/>
    </row>
    <row r="271" customFormat="false" ht="30.65" hidden="false" customHeight="true" outlineLevel="0" collapsed="false">
      <c r="B271" s="24" t="n">
        <v>46321</v>
      </c>
      <c r="H271" s="42"/>
      <c r="I271" s="42"/>
      <c r="J271" s="28" t="n">
        <f aca="false">SUM(I271-H271)/10</f>
        <v>0</v>
      </c>
      <c r="M271" s="30"/>
      <c r="N271" s="31"/>
      <c r="O271" s="30"/>
      <c r="P271" s="30"/>
      <c r="Q271" s="33"/>
      <c r="R271" s="30"/>
      <c r="S271" s="30"/>
      <c r="T271" s="30"/>
      <c r="U271" s="30"/>
      <c r="V271" s="30"/>
      <c r="W271" s="30"/>
    </row>
    <row r="272" customFormat="false" ht="30.65" hidden="false" customHeight="true" outlineLevel="0" collapsed="false">
      <c r="B272" s="24" t="n">
        <v>46322</v>
      </c>
      <c r="H272" s="42"/>
      <c r="I272" s="42"/>
      <c r="J272" s="28" t="n">
        <f aca="false">SUM(I272-H272)/10</f>
        <v>0</v>
      </c>
      <c r="M272" s="30"/>
      <c r="N272" s="31"/>
      <c r="O272" s="30"/>
      <c r="P272" s="30"/>
      <c r="Q272" s="33"/>
      <c r="R272" s="30"/>
      <c r="S272" s="30"/>
      <c r="T272" s="30"/>
      <c r="U272" s="30"/>
      <c r="V272" s="30"/>
      <c r="W272" s="30"/>
    </row>
    <row r="273" customFormat="false" ht="30.65" hidden="false" customHeight="true" outlineLevel="0" collapsed="false">
      <c r="B273" s="24" t="n">
        <v>46323</v>
      </c>
      <c r="H273" s="42"/>
      <c r="I273" s="42"/>
      <c r="J273" s="28" t="n">
        <f aca="false">SUM(I273-H273)/10</f>
        <v>0</v>
      </c>
      <c r="M273" s="30"/>
      <c r="N273" s="31"/>
      <c r="O273" s="30"/>
      <c r="P273" s="30"/>
      <c r="Q273" s="33"/>
      <c r="R273" s="30"/>
      <c r="S273" s="30"/>
      <c r="T273" s="30"/>
      <c r="U273" s="30"/>
      <c r="V273" s="30"/>
      <c r="W273" s="30"/>
    </row>
    <row r="274" customFormat="false" ht="30.65" hidden="false" customHeight="true" outlineLevel="0" collapsed="false">
      <c r="B274" s="24" t="n">
        <v>46324</v>
      </c>
      <c r="H274" s="42"/>
      <c r="I274" s="42"/>
      <c r="J274" s="28" t="n">
        <f aca="false">SUM(I274-H274)/10</f>
        <v>0</v>
      </c>
      <c r="M274" s="30"/>
      <c r="N274" s="31"/>
      <c r="O274" s="30"/>
      <c r="P274" s="30"/>
      <c r="Q274" s="33"/>
      <c r="R274" s="30"/>
      <c r="S274" s="30"/>
      <c r="T274" s="30"/>
      <c r="U274" s="30"/>
      <c r="V274" s="30"/>
      <c r="W274" s="30"/>
    </row>
    <row r="275" customFormat="false" ht="30.65" hidden="false" customHeight="true" outlineLevel="0" collapsed="false">
      <c r="B275" s="24" t="n">
        <v>46325</v>
      </c>
      <c r="H275" s="42"/>
      <c r="I275" s="42"/>
      <c r="J275" s="28" t="n">
        <f aca="false">SUM(I275-H275)/10</f>
        <v>0</v>
      </c>
      <c r="M275" s="30"/>
      <c r="N275" s="31"/>
      <c r="O275" s="30"/>
      <c r="P275" s="30"/>
      <c r="Q275" s="33"/>
      <c r="R275" s="30"/>
      <c r="S275" s="30"/>
      <c r="T275" s="30"/>
      <c r="U275" s="30"/>
      <c r="V275" s="30"/>
      <c r="W275" s="30"/>
    </row>
    <row r="276" customFormat="false" ht="30.65" hidden="false" customHeight="true" outlineLevel="0" collapsed="false">
      <c r="B276" s="24" t="n">
        <v>46326</v>
      </c>
      <c r="H276" s="43"/>
      <c r="I276" s="43"/>
      <c r="J276" s="28" t="n">
        <f aca="false">SUM(I276-H276)/10</f>
        <v>0</v>
      </c>
      <c r="M276" s="30"/>
      <c r="N276" s="31"/>
      <c r="O276" s="30"/>
      <c r="P276" s="30"/>
      <c r="Q276" s="33"/>
      <c r="R276" s="30"/>
      <c r="S276" s="30"/>
      <c r="T276" s="30"/>
      <c r="U276" s="30"/>
      <c r="V276" s="30"/>
      <c r="W276" s="30"/>
    </row>
    <row r="277" customFormat="false" ht="30.65" hidden="false" customHeight="true" outlineLevel="0" collapsed="false">
      <c r="B277" s="24" t="n">
        <v>46327</v>
      </c>
      <c r="H277" s="43"/>
      <c r="I277" s="43"/>
      <c r="J277" s="28" t="n">
        <f aca="false">SUM(I277-H277)/10</f>
        <v>0</v>
      </c>
      <c r="M277" s="30"/>
      <c r="N277" s="31"/>
      <c r="O277" s="30"/>
      <c r="P277" s="30"/>
      <c r="Q277" s="33"/>
      <c r="R277" s="30"/>
      <c r="S277" s="30"/>
      <c r="T277" s="30"/>
      <c r="U277" s="30"/>
      <c r="V277" s="30"/>
      <c r="W277" s="30"/>
    </row>
    <row r="278" customFormat="false" ht="30.65" hidden="false" customHeight="true" outlineLevel="0" collapsed="false">
      <c r="B278" s="24" t="n">
        <v>46328</v>
      </c>
      <c r="H278" s="43"/>
      <c r="I278" s="43"/>
      <c r="J278" s="28" t="n">
        <f aca="false">SUM(I278-H278)/10</f>
        <v>0</v>
      </c>
      <c r="M278" s="30"/>
      <c r="N278" s="31"/>
      <c r="O278" s="30"/>
      <c r="P278" s="30"/>
      <c r="Q278" s="33"/>
      <c r="R278" s="30"/>
      <c r="S278" s="30"/>
      <c r="T278" s="30"/>
      <c r="U278" s="30"/>
      <c r="V278" s="30"/>
      <c r="W278" s="30"/>
    </row>
    <row r="279" customFormat="false" ht="30.65" hidden="false" customHeight="true" outlineLevel="0" collapsed="false">
      <c r="B279" s="24" t="n">
        <v>46329</v>
      </c>
      <c r="H279" s="43"/>
      <c r="I279" s="43"/>
      <c r="J279" s="28" t="n">
        <f aca="false">SUM(I279-H279)/10</f>
        <v>0</v>
      </c>
      <c r="M279" s="30"/>
      <c r="N279" s="31"/>
      <c r="O279" s="30"/>
      <c r="P279" s="30"/>
      <c r="Q279" s="33"/>
      <c r="R279" s="30"/>
      <c r="S279" s="30"/>
      <c r="T279" s="30"/>
      <c r="U279" s="30"/>
      <c r="V279" s="30"/>
      <c r="W279" s="30"/>
    </row>
    <row r="280" customFormat="false" ht="30.65" hidden="false" customHeight="true" outlineLevel="0" collapsed="false">
      <c r="B280" s="24" t="n">
        <v>46330</v>
      </c>
      <c r="H280" s="43"/>
      <c r="I280" s="43"/>
      <c r="J280" s="28" t="n">
        <f aca="false">SUM(I280-H280)/10</f>
        <v>0</v>
      </c>
      <c r="M280" s="30"/>
      <c r="N280" s="31"/>
      <c r="O280" s="30"/>
      <c r="P280" s="30"/>
      <c r="Q280" s="33"/>
      <c r="R280" s="30"/>
      <c r="S280" s="30"/>
      <c r="T280" s="30"/>
      <c r="U280" s="30"/>
      <c r="V280" s="30"/>
      <c r="W280" s="30"/>
    </row>
    <row r="281" customFormat="false" ht="30.65" hidden="false" customHeight="true" outlineLevel="0" collapsed="false">
      <c r="B281" s="24" t="n">
        <v>46331</v>
      </c>
      <c r="H281" s="43"/>
      <c r="I281" s="43"/>
      <c r="J281" s="28" t="n">
        <f aca="false">SUM(I281-H281)/10</f>
        <v>0</v>
      </c>
      <c r="M281" s="30"/>
      <c r="N281" s="31"/>
      <c r="O281" s="30"/>
      <c r="P281" s="30"/>
      <c r="Q281" s="33"/>
      <c r="R281" s="30"/>
      <c r="S281" s="30"/>
      <c r="T281" s="30"/>
      <c r="U281" s="30"/>
      <c r="V281" s="30"/>
      <c r="W281" s="30"/>
    </row>
    <row r="282" customFormat="false" ht="30.65" hidden="false" customHeight="true" outlineLevel="0" collapsed="false">
      <c r="B282" s="24" t="n">
        <v>46332</v>
      </c>
      <c r="H282" s="43"/>
      <c r="I282" s="43"/>
      <c r="J282" s="28" t="n">
        <f aca="false">SUM(I282-H282)/10</f>
        <v>0</v>
      </c>
      <c r="M282" s="30"/>
      <c r="N282" s="31"/>
      <c r="O282" s="30"/>
      <c r="P282" s="30"/>
      <c r="Q282" s="33"/>
      <c r="R282" s="30"/>
      <c r="S282" s="30"/>
      <c r="T282" s="30"/>
      <c r="U282" s="30"/>
      <c r="V282" s="30"/>
      <c r="W282" s="30"/>
    </row>
    <row r="283" customFormat="false" ht="30.65" hidden="false" customHeight="true" outlineLevel="0" collapsed="false">
      <c r="B283" s="24" t="n">
        <v>46333</v>
      </c>
      <c r="H283" s="43"/>
      <c r="I283" s="43"/>
      <c r="J283" s="28" t="n">
        <f aca="false">SUM(I283-H283)/10</f>
        <v>0</v>
      </c>
      <c r="M283" s="30"/>
      <c r="N283" s="31"/>
      <c r="O283" s="30"/>
      <c r="P283" s="30"/>
      <c r="Q283" s="33"/>
      <c r="R283" s="30"/>
      <c r="S283" s="30"/>
      <c r="T283" s="30"/>
      <c r="U283" s="30"/>
      <c r="V283" s="30"/>
      <c r="W283" s="30"/>
    </row>
    <row r="284" customFormat="false" ht="30.65" hidden="false" customHeight="true" outlineLevel="0" collapsed="false">
      <c r="B284" s="24" t="n">
        <v>46334</v>
      </c>
      <c r="H284" s="43"/>
      <c r="I284" s="43"/>
      <c r="J284" s="28" t="n">
        <f aca="false">SUM(I284-H284)/10</f>
        <v>0</v>
      </c>
      <c r="M284" s="30"/>
      <c r="N284" s="31"/>
      <c r="O284" s="30"/>
      <c r="P284" s="30"/>
      <c r="Q284" s="33"/>
      <c r="R284" s="30"/>
      <c r="S284" s="30"/>
      <c r="T284" s="30"/>
      <c r="U284" s="30"/>
      <c r="V284" s="30"/>
      <c r="W284" s="30"/>
    </row>
    <row r="285" customFormat="false" ht="30.65" hidden="false" customHeight="true" outlineLevel="0" collapsed="false">
      <c r="B285" s="24" t="n">
        <v>46335</v>
      </c>
      <c r="H285" s="43"/>
      <c r="I285" s="43"/>
      <c r="J285" s="28" t="n">
        <f aca="false">SUM(I285-H285)/10</f>
        <v>0</v>
      </c>
      <c r="M285" s="30"/>
      <c r="N285" s="31"/>
      <c r="O285" s="30"/>
      <c r="P285" s="30"/>
      <c r="Q285" s="33"/>
      <c r="R285" s="30"/>
      <c r="S285" s="30"/>
      <c r="T285" s="30"/>
      <c r="U285" s="30"/>
      <c r="V285" s="30"/>
      <c r="W285" s="30"/>
    </row>
    <row r="286" customFormat="false" ht="30.65" hidden="false" customHeight="true" outlineLevel="0" collapsed="false">
      <c r="B286" s="24" t="n">
        <v>46336</v>
      </c>
      <c r="H286" s="43"/>
      <c r="I286" s="43"/>
      <c r="J286" s="28" t="n">
        <f aca="false">SUM(I286-H286)/10</f>
        <v>0</v>
      </c>
      <c r="M286" s="30"/>
      <c r="N286" s="31"/>
      <c r="O286" s="30"/>
      <c r="P286" s="30"/>
      <c r="Q286" s="33"/>
      <c r="R286" s="30"/>
      <c r="S286" s="30"/>
      <c r="T286" s="30"/>
      <c r="U286" s="30"/>
      <c r="V286" s="30"/>
      <c r="W286" s="30"/>
    </row>
    <row r="287" customFormat="false" ht="30.65" hidden="false" customHeight="true" outlineLevel="0" collapsed="false">
      <c r="B287" s="24" t="n">
        <v>46337</v>
      </c>
      <c r="H287" s="43"/>
      <c r="I287" s="43"/>
      <c r="J287" s="28" t="n">
        <f aca="false">SUM(I287-H287)/10</f>
        <v>0</v>
      </c>
      <c r="M287" s="30"/>
      <c r="N287" s="31"/>
      <c r="O287" s="30"/>
      <c r="P287" s="30"/>
      <c r="Q287" s="33"/>
      <c r="R287" s="30"/>
      <c r="S287" s="30"/>
      <c r="T287" s="30"/>
      <c r="U287" s="30"/>
      <c r="V287" s="30"/>
      <c r="W287" s="30"/>
    </row>
    <row r="288" customFormat="false" ht="30.65" hidden="false" customHeight="true" outlineLevel="0" collapsed="false">
      <c r="B288" s="24" t="n">
        <v>46338</v>
      </c>
      <c r="H288" s="43"/>
      <c r="I288" s="43"/>
      <c r="J288" s="28" t="n">
        <f aca="false">SUM(I288-H288)/10</f>
        <v>0</v>
      </c>
      <c r="M288" s="30"/>
      <c r="N288" s="31"/>
      <c r="O288" s="30"/>
      <c r="P288" s="30"/>
      <c r="Q288" s="33"/>
      <c r="R288" s="30"/>
      <c r="S288" s="30"/>
      <c r="T288" s="30"/>
      <c r="U288" s="30"/>
      <c r="V288" s="30"/>
      <c r="W288" s="30"/>
    </row>
    <row r="289" customFormat="false" ht="30.65" hidden="false" customHeight="true" outlineLevel="0" collapsed="false">
      <c r="B289" s="24" t="n">
        <v>46339</v>
      </c>
      <c r="H289" s="43"/>
      <c r="I289" s="43"/>
      <c r="J289" s="28" t="n">
        <f aca="false">SUM(I289-H289)/10</f>
        <v>0</v>
      </c>
      <c r="M289" s="30"/>
      <c r="N289" s="31"/>
      <c r="O289" s="30"/>
      <c r="P289" s="30"/>
      <c r="Q289" s="33"/>
      <c r="R289" s="30"/>
      <c r="S289" s="30"/>
      <c r="T289" s="30"/>
      <c r="U289" s="30"/>
      <c r="V289" s="30"/>
      <c r="W289" s="30"/>
    </row>
    <row r="290" customFormat="false" ht="30.65" hidden="false" customHeight="true" outlineLevel="0" collapsed="false">
      <c r="B290" s="24" t="n">
        <v>46340</v>
      </c>
      <c r="H290" s="43"/>
      <c r="I290" s="43"/>
      <c r="J290" s="28" t="n">
        <f aca="false">SUM(I290-H290)/10</f>
        <v>0</v>
      </c>
      <c r="M290" s="30"/>
      <c r="N290" s="31"/>
      <c r="O290" s="30"/>
      <c r="P290" s="30"/>
      <c r="Q290" s="33"/>
      <c r="R290" s="30"/>
      <c r="S290" s="30"/>
      <c r="T290" s="30"/>
      <c r="U290" s="30"/>
      <c r="V290" s="30"/>
      <c r="W290" s="30"/>
    </row>
    <row r="291" customFormat="false" ht="30.65" hidden="false" customHeight="true" outlineLevel="0" collapsed="false">
      <c r="B291" s="24" t="n">
        <v>46341</v>
      </c>
      <c r="H291" s="43"/>
      <c r="I291" s="43"/>
      <c r="J291" s="28" t="n">
        <f aca="false">SUM(I291-H291)/10</f>
        <v>0</v>
      </c>
      <c r="M291" s="30"/>
      <c r="N291" s="31"/>
      <c r="O291" s="30"/>
      <c r="P291" s="30"/>
      <c r="Q291" s="33"/>
      <c r="R291" s="30"/>
      <c r="S291" s="30"/>
      <c r="T291" s="30"/>
      <c r="U291" s="30"/>
      <c r="V291" s="30"/>
      <c r="W291" s="30"/>
    </row>
    <row r="292" customFormat="false" ht="30.65" hidden="false" customHeight="true" outlineLevel="0" collapsed="false">
      <c r="B292" s="24" t="n">
        <v>46342</v>
      </c>
      <c r="H292" s="43"/>
      <c r="I292" s="43"/>
      <c r="J292" s="28" t="n">
        <f aca="false">SUM(I292-H292)/10</f>
        <v>0</v>
      </c>
      <c r="M292" s="30"/>
      <c r="N292" s="31"/>
      <c r="O292" s="30"/>
      <c r="P292" s="30"/>
      <c r="Q292" s="33"/>
      <c r="R292" s="30"/>
      <c r="S292" s="30"/>
      <c r="T292" s="30"/>
      <c r="U292" s="30"/>
      <c r="V292" s="30"/>
      <c r="W292" s="30"/>
    </row>
    <row r="293" customFormat="false" ht="30.65" hidden="false" customHeight="true" outlineLevel="0" collapsed="false">
      <c r="B293" s="24" t="n">
        <v>46343</v>
      </c>
      <c r="H293" s="43"/>
      <c r="I293" s="43"/>
      <c r="J293" s="28" t="n">
        <f aca="false">SUM(I293-H293)/10</f>
        <v>0</v>
      </c>
      <c r="M293" s="30"/>
      <c r="N293" s="31"/>
      <c r="O293" s="30"/>
      <c r="P293" s="30"/>
      <c r="Q293" s="33"/>
      <c r="R293" s="30"/>
      <c r="S293" s="30"/>
      <c r="T293" s="30"/>
      <c r="U293" s="30"/>
      <c r="V293" s="30"/>
      <c r="W293" s="30"/>
    </row>
    <row r="294" customFormat="false" ht="30.65" hidden="false" customHeight="true" outlineLevel="0" collapsed="false">
      <c r="B294" s="24" t="n">
        <v>46344</v>
      </c>
      <c r="H294" s="43"/>
      <c r="I294" s="43"/>
      <c r="J294" s="28" t="n">
        <f aca="false">SUM(I294-H294)/10</f>
        <v>0</v>
      </c>
      <c r="M294" s="30"/>
      <c r="N294" s="31"/>
      <c r="O294" s="30"/>
      <c r="P294" s="30"/>
      <c r="Q294" s="33"/>
      <c r="R294" s="30"/>
      <c r="S294" s="30"/>
      <c r="T294" s="30"/>
      <c r="U294" s="30"/>
      <c r="V294" s="30"/>
      <c r="W294" s="30"/>
    </row>
    <row r="295" customFormat="false" ht="30.65" hidden="false" customHeight="true" outlineLevel="0" collapsed="false">
      <c r="B295" s="24" t="n">
        <v>46345</v>
      </c>
      <c r="H295" s="43"/>
      <c r="I295" s="43"/>
      <c r="J295" s="28" t="n">
        <f aca="false">SUM(I295-H295)/10</f>
        <v>0</v>
      </c>
      <c r="M295" s="30"/>
      <c r="N295" s="31"/>
      <c r="O295" s="30"/>
      <c r="P295" s="30"/>
      <c r="Q295" s="33"/>
      <c r="R295" s="30"/>
      <c r="S295" s="30"/>
      <c r="T295" s="30"/>
      <c r="U295" s="30"/>
      <c r="V295" s="30"/>
      <c r="W295" s="30"/>
    </row>
    <row r="296" customFormat="false" ht="30.65" hidden="false" customHeight="true" outlineLevel="0" collapsed="false">
      <c r="B296" s="24" t="n">
        <v>46346</v>
      </c>
      <c r="H296" s="43"/>
      <c r="I296" s="43"/>
      <c r="J296" s="28" t="n">
        <f aca="false">SUM(I296-H296)/10</f>
        <v>0</v>
      </c>
      <c r="M296" s="30"/>
      <c r="N296" s="31"/>
      <c r="O296" s="30"/>
      <c r="P296" s="30"/>
      <c r="Q296" s="33"/>
      <c r="R296" s="30"/>
      <c r="S296" s="30"/>
      <c r="T296" s="30"/>
      <c r="U296" s="30"/>
      <c r="V296" s="30"/>
      <c r="W296" s="30"/>
    </row>
    <row r="297" customFormat="false" ht="30.65" hidden="false" customHeight="true" outlineLevel="0" collapsed="false">
      <c r="B297" s="24" t="n">
        <v>46347</v>
      </c>
      <c r="H297" s="43"/>
      <c r="I297" s="43"/>
      <c r="J297" s="28" t="n">
        <f aca="false">SUM(I297-H297)/10</f>
        <v>0</v>
      </c>
      <c r="M297" s="30"/>
      <c r="N297" s="31"/>
      <c r="O297" s="30"/>
      <c r="P297" s="30"/>
      <c r="Q297" s="33"/>
      <c r="R297" s="30"/>
      <c r="S297" s="30"/>
      <c r="T297" s="30"/>
      <c r="U297" s="30"/>
      <c r="V297" s="30"/>
      <c r="W297" s="30"/>
    </row>
    <row r="298" customFormat="false" ht="30.65" hidden="false" customHeight="true" outlineLevel="0" collapsed="false">
      <c r="B298" s="24" t="n">
        <v>46348</v>
      </c>
      <c r="H298" s="43"/>
      <c r="I298" s="43"/>
      <c r="J298" s="28" t="n">
        <f aca="false">SUM(I298-H298)/10</f>
        <v>0</v>
      </c>
      <c r="M298" s="30"/>
      <c r="N298" s="31"/>
      <c r="O298" s="30"/>
      <c r="P298" s="30"/>
      <c r="Q298" s="33"/>
      <c r="R298" s="30"/>
      <c r="S298" s="30"/>
      <c r="T298" s="30"/>
      <c r="U298" s="30"/>
      <c r="V298" s="30"/>
      <c r="W298" s="30"/>
    </row>
    <row r="299" customFormat="false" ht="30.65" hidden="false" customHeight="true" outlineLevel="0" collapsed="false">
      <c r="B299" s="24" t="n">
        <v>46349</v>
      </c>
      <c r="H299" s="43"/>
      <c r="I299" s="43"/>
      <c r="J299" s="28" t="n">
        <f aca="false">SUM(I299-H299)/10</f>
        <v>0</v>
      </c>
      <c r="M299" s="30"/>
      <c r="N299" s="31"/>
      <c r="O299" s="30"/>
      <c r="P299" s="30"/>
      <c r="Q299" s="33"/>
      <c r="R299" s="30"/>
      <c r="S299" s="30"/>
      <c r="T299" s="30"/>
      <c r="U299" s="30"/>
      <c r="V299" s="30"/>
      <c r="W299" s="30"/>
    </row>
    <row r="300" customFormat="false" ht="30.65" hidden="false" customHeight="true" outlineLevel="0" collapsed="false">
      <c r="B300" s="24" t="n">
        <v>46350</v>
      </c>
      <c r="H300" s="43"/>
      <c r="I300" s="43"/>
      <c r="J300" s="28" t="n">
        <f aca="false">SUM(I300-H300)/10</f>
        <v>0</v>
      </c>
      <c r="M300" s="30"/>
      <c r="N300" s="31"/>
      <c r="O300" s="30"/>
      <c r="P300" s="30"/>
      <c r="Q300" s="33"/>
      <c r="R300" s="30"/>
      <c r="S300" s="30"/>
      <c r="T300" s="30"/>
      <c r="U300" s="30"/>
      <c r="V300" s="30"/>
      <c r="W300" s="30"/>
    </row>
    <row r="301" customFormat="false" ht="30.65" hidden="false" customHeight="true" outlineLevel="0" collapsed="false">
      <c r="B301" s="24" t="n">
        <v>46351</v>
      </c>
      <c r="H301" s="43"/>
      <c r="I301" s="43"/>
      <c r="J301" s="28" t="n">
        <f aca="false">SUM(I301-H301)/10</f>
        <v>0</v>
      </c>
      <c r="M301" s="30"/>
      <c r="N301" s="31"/>
      <c r="O301" s="30"/>
      <c r="P301" s="30"/>
      <c r="Q301" s="33"/>
      <c r="R301" s="30"/>
      <c r="S301" s="30"/>
      <c r="T301" s="30"/>
      <c r="U301" s="30"/>
      <c r="V301" s="30"/>
      <c r="W301" s="30"/>
    </row>
    <row r="302" customFormat="false" ht="30.65" hidden="false" customHeight="true" outlineLevel="0" collapsed="false">
      <c r="B302" s="24" t="n">
        <v>46352</v>
      </c>
      <c r="H302" s="43"/>
      <c r="I302" s="43"/>
      <c r="J302" s="28" t="n">
        <f aca="false">SUM(I302-H302)/10</f>
        <v>0</v>
      </c>
      <c r="M302" s="30"/>
      <c r="N302" s="31"/>
      <c r="O302" s="30"/>
      <c r="P302" s="30"/>
      <c r="Q302" s="33"/>
      <c r="R302" s="30"/>
      <c r="S302" s="30"/>
      <c r="T302" s="30"/>
      <c r="U302" s="30"/>
      <c r="V302" s="30"/>
      <c r="W302" s="30"/>
    </row>
    <row r="303" customFormat="false" ht="30.65" hidden="false" customHeight="true" outlineLevel="0" collapsed="false">
      <c r="B303" s="24" t="n">
        <v>46353</v>
      </c>
      <c r="H303" s="43"/>
      <c r="I303" s="43"/>
      <c r="J303" s="28" t="n">
        <f aca="false">SUM(I303-H303)/10</f>
        <v>0</v>
      </c>
      <c r="M303" s="30"/>
      <c r="N303" s="31"/>
      <c r="O303" s="30"/>
      <c r="P303" s="30"/>
      <c r="Q303" s="33"/>
      <c r="R303" s="30"/>
      <c r="S303" s="30"/>
      <c r="T303" s="30"/>
      <c r="U303" s="30"/>
      <c r="V303" s="30"/>
      <c r="W303" s="30"/>
    </row>
    <row r="304" customFormat="false" ht="30.65" hidden="false" customHeight="true" outlineLevel="0" collapsed="false">
      <c r="B304" s="24" t="n">
        <v>46354</v>
      </c>
      <c r="H304" s="43"/>
      <c r="I304" s="43"/>
      <c r="J304" s="28" t="n">
        <f aca="false">SUM(I304-H304)/10</f>
        <v>0</v>
      </c>
      <c r="M304" s="30"/>
      <c r="N304" s="31"/>
      <c r="O304" s="30"/>
      <c r="P304" s="30"/>
      <c r="Q304" s="33"/>
      <c r="R304" s="30"/>
      <c r="S304" s="30"/>
      <c r="T304" s="30"/>
      <c r="U304" s="30"/>
      <c r="V304" s="30"/>
      <c r="W304" s="30"/>
    </row>
    <row r="305" customFormat="false" ht="30.65" hidden="false" customHeight="true" outlineLevel="0" collapsed="false">
      <c r="B305" s="24" t="n">
        <v>46355</v>
      </c>
      <c r="H305" s="43"/>
      <c r="I305" s="43"/>
      <c r="J305" s="28" t="n">
        <f aca="false">SUM(I305-H305)/10</f>
        <v>0</v>
      </c>
      <c r="M305" s="30"/>
      <c r="N305" s="31"/>
      <c r="O305" s="30"/>
      <c r="P305" s="30"/>
      <c r="Q305" s="33"/>
      <c r="R305" s="30"/>
      <c r="S305" s="30"/>
      <c r="T305" s="30"/>
      <c r="U305" s="30"/>
      <c r="V305" s="30"/>
      <c r="W305" s="30"/>
    </row>
    <row r="306" customFormat="false" ht="30.65" hidden="false" customHeight="true" outlineLevel="0" collapsed="false">
      <c r="B306" s="24" t="n">
        <v>46356</v>
      </c>
      <c r="H306" s="43"/>
      <c r="I306" s="43"/>
      <c r="J306" s="28" t="n">
        <f aca="false">SUM(I306-H306)/10</f>
        <v>0</v>
      </c>
      <c r="M306" s="30"/>
      <c r="N306" s="31"/>
      <c r="O306" s="30"/>
      <c r="P306" s="30"/>
      <c r="Q306" s="33"/>
      <c r="R306" s="30"/>
      <c r="S306" s="30"/>
      <c r="T306" s="30"/>
      <c r="U306" s="30"/>
      <c r="V306" s="30"/>
      <c r="W306" s="30"/>
    </row>
    <row r="307" customFormat="false" ht="30.65" hidden="false" customHeight="true" outlineLevel="0" collapsed="false">
      <c r="B307" s="24" t="n">
        <v>46357</v>
      </c>
      <c r="H307" s="43"/>
      <c r="I307" s="43"/>
      <c r="J307" s="28" t="n">
        <f aca="false">SUM(I307-H307)/10</f>
        <v>0</v>
      </c>
      <c r="M307" s="30"/>
      <c r="N307" s="31"/>
      <c r="O307" s="30"/>
      <c r="P307" s="30"/>
      <c r="Q307" s="33"/>
      <c r="R307" s="30"/>
      <c r="S307" s="30"/>
      <c r="T307" s="30"/>
      <c r="U307" s="30"/>
      <c r="V307" s="30"/>
      <c r="W307" s="30"/>
    </row>
    <row r="308" customFormat="false" ht="30.65" hidden="false" customHeight="true" outlineLevel="0" collapsed="false">
      <c r="B308" s="24" t="n">
        <v>46358</v>
      </c>
      <c r="H308" s="43"/>
      <c r="I308" s="43"/>
      <c r="J308" s="28" t="n">
        <f aca="false">SUM(I308-H308)/10</f>
        <v>0</v>
      </c>
      <c r="M308" s="30"/>
      <c r="N308" s="31"/>
      <c r="O308" s="30"/>
      <c r="P308" s="30"/>
      <c r="Q308" s="33"/>
      <c r="R308" s="30"/>
      <c r="S308" s="30"/>
      <c r="T308" s="30"/>
      <c r="U308" s="30"/>
      <c r="V308" s="30"/>
      <c r="W308" s="30"/>
    </row>
    <row r="309" customFormat="false" ht="30.65" hidden="false" customHeight="true" outlineLevel="0" collapsed="false">
      <c r="B309" s="24" t="n">
        <v>46359</v>
      </c>
      <c r="H309" s="43"/>
      <c r="I309" s="43"/>
      <c r="J309" s="28" t="n">
        <f aca="false">SUM(I309-H309)/10</f>
        <v>0</v>
      </c>
      <c r="M309" s="30"/>
      <c r="N309" s="31"/>
      <c r="O309" s="30"/>
      <c r="P309" s="30"/>
      <c r="Q309" s="33"/>
      <c r="R309" s="30"/>
      <c r="S309" s="30"/>
      <c r="T309" s="30"/>
      <c r="U309" s="30"/>
      <c r="V309" s="30"/>
      <c r="W309" s="30"/>
    </row>
    <row r="310" customFormat="false" ht="30.65" hidden="false" customHeight="true" outlineLevel="0" collapsed="false">
      <c r="B310" s="24" t="n">
        <v>46360</v>
      </c>
      <c r="H310" s="43"/>
      <c r="I310" s="43"/>
      <c r="J310" s="28" t="n">
        <f aca="false">SUM(I310-H310)/10</f>
        <v>0</v>
      </c>
      <c r="M310" s="30"/>
      <c r="N310" s="31"/>
      <c r="O310" s="30"/>
      <c r="P310" s="30"/>
      <c r="Q310" s="33"/>
      <c r="R310" s="30"/>
      <c r="S310" s="30"/>
      <c r="T310" s="30"/>
      <c r="U310" s="30"/>
      <c r="V310" s="30"/>
      <c r="W310" s="30"/>
    </row>
    <row r="311" customFormat="false" ht="30.65" hidden="false" customHeight="true" outlineLevel="0" collapsed="false">
      <c r="B311" s="24" t="n">
        <v>46361</v>
      </c>
      <c r="H311" s="43"/>
      <c r="I311" s="43"/>
      <c r="J311" s="28" t="n">
        <f aca="false">SUM(I311-H311)/10</f>
        <v>0</v>
      </c>
      <c r="M311" s="30"/>
      <c r="N311" s="31"/>
      <c r="O311" s="30"/>
      <c r="P311" s="30"/>
      <c r="Q311" s="33"/>
      <c r="R311" s="30"/>
      <c r="S311" s="30"/>
      <c r="T311" s="30"/>
      <c r="U311" s="30"/>
      <c r="V311" s="30"/>
      <c r="W311" s="30"/>
    </row>
    <row r="312" customFormat="false" ht="30.65" hidden="false" customHeight="true" outlineLevel="0" collapsed="false">
      <c r="B312" s="24" t="n">
        <v>46362</v>
      </c>
      <c r="H312" s="43"/>
      <c r="I312" s="43"/>
      <c r="J312" s="28" t="n">
        <f aca="false">SUM(I312-H312)/10</f>
        <v>0</v>
      </c>
      <c r="M312" s="30"/>
      <c r="N312" s="31"/>
      <c r="O312" s="30"/>
      <c r="P312" s="30"/>
      <c r="Q312" s="33"/>
      <c r="R312" s="30"/>
      <c r="S312" s="30"/>
      <c r="T312" s="30"/>
      <c r="U312" s="30"/>
      <c r="V312" s="30"/>
      <c r="W312" s="30"/>
    </row>
    <row r="313" customFormat="false" ht="30.65" hidden="false" customHeight="true" outlineLevel="0" collapsed="false">
      <c r="B313" s="24" t="n">
        <v>46363</v>
      </c>
      <c r="H313" s="43"/>
      <c r="I313" s="43"/>
      <c r="J313" s="28" t="n">
        <f aca="false">SUM(I313-H313)/10</f>
        <v>0</v>
      </c>
      <c r="M313" s="30"/>
      <c r="N313" s="31"/>
      <c r="O313" s="30"/>
      <c r="P313" s="30"/>
      <c r="Q313" s="33"/>
      <c r="R313" s="30"/>
      <c r="S313" s="30"/>
      <c r="T313" s="30"/>
      <c r="U313" s="30"/>
      <c r="V313" s="30"/>
      <c r="W313" s="30"/>
    </row>
    <row r="314" customFormat="false" ht="30.65" hidden="false" customHeight="true" outlineLevel="0" collapsed="false">
      <c r="B314" s="24" t="n">
        <v>46364</v>
      </c>
      <c r="H314" s="43"/>
      <c r="I314" s="43"/>
      <c r="J314" s="28" t="n">
        <f aca="false">SUM(I314-H314)/10</f>
        <v>0</v>
      </c>
      <c r="M314" s="30"/>
      <c r="N314" s="31"/>
      <c r="O314" s="30"/>
      <c r="P314" s="30"/>
      <c r="Q314" s="33"/>
      <c r="R314" s="30"/>
      <c r="S314" s="30"/>
      <c r="T314" s="30"/>
      <c r="U314" s="30"/>
      <c r="V314" s="30"/>
      <c r="W314" s="30"/>
    </row>
    <row r="315" customFormat="false" ht="30.65" hidden="false" customHeight="true" outlineLevel="0" collapsed="false">
      <c r="B315" s="24" t="n">
        <v>46365</v>
      </c>
      <c r="H315" s="43"/>
      <c r="I315" s="43"/>
      <c r="J315" s="28" t="n">
        <f aca="false">SUM(I315-H315)/10</f>
        <v>0</v>
      </c>
      <c r="M315" s="30"/>
      <c r="N315" s="31"/>
      <c r="O315" s="30"/>
      <c r="P315" s="30"/>
      <c r="Q315" s="33"/>
      <c r="R315" s="30"/>
      <c r="S315" s="30"/>
      <c r="T315" s="30"/>
      <c r="U315" s="30"/>
      <c r="V315" s="30"/>
      <c r="W315" s="30"/>
    </row>
    <row r="316" customFormat="false" ht="30.65" hidden="false" customHeight="true" outlineLevel="0" collapsed="false">
      <c r="B316" s="24" t="n">
        <v>46366</v>
      </c>
      <c r="H316" s="43"/>
      <c r="I316" s="43"/>
      <c r="J316" s="28" t="n">
        <f aca="false">SUM(I316-H316)/10</f>
        <v>0</v>
      </c>
      <c r="M316" s="30"/>
      <c r="N316" s="31"/>
      <c r="O316" s="30"/>
      <c r="P316" s="30"/>
      <c r="Q316" s="33"/>
      <c r="R316" s="30"/>
      <c r="S316" s="30"/>
      <c r="T316" s="30"/>
      <c r="U316" s="30"/>
      <c r="V316" s="30"/>
      <c r="W316" s="30"/>
    </row>
    <row r="317" customFormat="false" ht="30.65" hidden="false" customHeight="true" outlineLevel="0" collapsed="false">
      <c r="B317" s="24" t="n">
        <v>46367</v>
      </c>
      <c r="H317" s="43"/>
      <c r="I317" s="43"/>
      <c r="J317" s="28" t="n">
        <f aca="false">SUM(I317-H317)/10</f>
        <v>0</v>
      </c>
      <c r="M317" s="30"/>
      <c r="N317" s="31"/>
      <c r="O317" s="30"/>
      <c r="P317" s="30"/>
      <c r="Q317" s="33"/>
      <c r="R317" s="30"/>
      <c r="S317" s="30"/>
      <c r="T317" s="30"/>
      <c r="U317" s="30"/>
      <c r="V317" s="30"/>
      <c r="W317" s="30"/>
    </row>
    <row r="318" customFormat="false" ht="30.65" hidden="false" customHeight="true" outlineLevel="0" collapsed="false">
      <c r="B318" s="24" t="n">
        <v>46368</v>
      </c>
      <c r="H318" s="43"/>
      <c r="I318" s="43"/>
      <c r="J318" s="28" t="n">
        <f aca="false">SUM(I318-H318)/10</f>
        <v>0</v>
      </c>
      <c r="M318" s="30"/>
      <c r="N318" s="31"/>
      <c r="O318" s="30"/>
      <c r="P318" s="30"/>
      <c r="Q318" s="33"/>
      <c r="R318" s="30"/>
      <c r="S318" s="30"/>
      <c r="T318" s="30"/>
      <c r="U318" s="30"/>
      <c r="V318" s="30"/>
      <c r="W318" s="30"/>
    </row>
    <row r="319" customFormat="false" ht="30.65" hidden="false" customHeight="true" outlineLevel="0" collapsed="false">
      <c r="B319" s="24" t="n">
        <v>46369</v>
      </c>
      <c r="H319" s="43"/>
      <c r="I319" s="43"/>
      <c r="J319" s="28" t="n">
        <f aca="false">SUM(I319-H319)/10</f>
        <v>0</v>
      </c>
      <c r="M319" s="30"/>
      <c r="N319" s="31"/>
      <c r="O319" s="30"/>
      <c r="P319" s="30"/>
      <c r="Q319" s="33"/>
      <c r="R319" s="30"/>
      <c r="S319" s="30"/>
      <c r="T319" s="30"/>
      <c r="U319" s="30"/>
      <c r="V319" s="30"/>
      <c r="W319" s="30"/>
    </row>
    <row r="320" customFormat="false" ht="30.65" hidden="false" customHeight="true" outlineLevel="0" collapsed="false">
      <c r="B320" s="24" t="n">
        <v>46370</v>
      </c>
      <c r="H320" s="43"/>
      <c r="I320" s="43"/>
      <c r="J320" s="28" t="n">
        <f aca="false">SUM(I320-H320)/10</f>
        <v>0</v>
      </c>
      <c r="M320" s="30"/>
      <c r="N320" s="31"/>
      <c r="O320" s="30"/>
      <c r="P320" s="30"/>
      <c r="Q320" s="33"/>
      <c r="R320" s="30"/>
      <c r="S320" s="30"/>
      <c r="T320" s="30"/>
      <c r="U320" s="30"/>
      <c r="V320" s="30"/>
      <c r="W320" s="30"/>
    </row>
    <row r="321" customFormat="false" ht="30.65" hidden="false" customHeight="true" outlineLevel="0" collapsed="false">
      <c r="B321" s="24" t="n">
        <v>46371</v>
      </c>
      <c r="H321" s="43"/>
      <c r="I321" s="43"/>
      <c r="J321" s="28" t="n">
        <f aca="false">SUM(I321-H321)/10</f>
        <v>0</v>
      </c>
      <c r="M321" s="30"/>
      <c r="N321" s="31"/>
      <c r="O321" s="30"/>
      <c r="P321" s="30"/>
      <c r="Q321" s="33"/>
      <c r="R321" s="30"/>
      <c r="S321" s="30"/>
      <c r="T321" s="30"/>
      <c r="U321" s="30"/>
      <c r="V321" s="30"/>
      <c r="W321" s="30"/>
    </row>
    <row r="322" customFormat="false" ht="30.65" hidden="false" customHeight="true" outlineLevel="0" collapsed="false">
      <c r="B322" s="24" t="n">
        <v>46372</v>
      </c>
      <c r="H322" s="43"/>
      <c r="I322" s="43"/>
      <c r="J322" s="28" t="n">
        <f aca="false">SUM(I322-H322)/10</f>
        <v>0</v>
      </c>
      <c r="M322" s="30"/>
      <c r="N322" s="31"/>
      <c r="O322" s="30"/>
      <c r="P322" s="30"/>
      <c r="Q322" s="33"/>
      <c r="R322" s="30"/>
      <c r="S322" s="30"/>
      <c r="T322" s="30"/>
      <c r="U322" s="30"/>
      <c r="V322" s="30"/>
      <c r="W322" s="30"/>
    </row>
    <row r="323" customFormat="false" ht="30.65" hidden="false" customHeight="true" outlineLevel="0" collapsed="false">
      <c r="B323" s="24" t="n">
        <v>46373</v>
      </c>
      <c r="H323" s="43"/>
      <c r="I323" s="43"/>
      <c r="J323" s="28" t="n">
        <f aca="false">SUM(I323-H323)/10</f>
        <v>0</v>
      </c>
      <c r="M323" s="30"/>
      <c r="N323" s="31"/>
      <c r="O323" s="30"/>
      <c r="P323" s="30"/>
      <c r="Q323" s="33"/>
      <c r="R323" s="30"/>
      <c r="S323" s="30"/>
      <c r="T323" s="30"/>
      <c r="U323" s="30"/>
      <c r="V323" s="30"/>
      <c r="W323" s="30"/>
    </row>
    <row r="324" customFormat="false" ht="30.65" hidden="false" customHeight="true" outlineLevel="0" collapsed="false">
      <c r="B324" s="24" t="n">
        <v>46374</v>
      </c>
      <c r="H324" s="43"/>
      <c r="I324" s="43"/>
      <c r="J324" s="28" t="n">
        <f aca="false">SUM(I324-H324)/10</f>
        <v>0</v>
      </c>
      <c r="M324" s="30"/>
      <c r="N324" s="31"/>
      <c r="O324" s="30"/>
      <c r="P324" s="30"/>
      <c r="Q324" s="33"/>
      <c r="R324" s="30"/>
      <c r="S324" s="30"/>
      <c r="T324" s="30"/>
      <c r="U324" s="30"/>
      <c r="V324" s="30"/>
      <c r="W324" s="30"/>
    </row>
    <row r="325" customFormat="false" ht="30.65" hidden="false" customHeight="true" outlineLevel="0" collapsed="false">
      <c r="B325" s="24" t="n">
        <v>46375</v>
      </c>
      <c r="H325" s="43"/>
      <c r="I325" s="43"/>
      <c r="J325" s="28" t="n">
        <f aca="false">SUM(I325-H325)/10</f>
        <v>0</v>
      </c>
      <c r="M325" s="30"/>
      <c r="N325" s="31"/>
      <c r="O325" s="30"/>
      <c r="P325" s="30"/>
      <c r="Q325" s="33"/>
      <c r="R325" s="30"/>
      <c r="S325" s="30"/>
      <c r="T325" s="30"/>
      <c r="U325" s="30"/>
      <c r="V325" s="30"/>
      <c r="W325" s="30"/>
    </row>
    <row r="326" customFormat="false" ht="30.65" hidden="false" customHeight="true" outlineLevel="0" collapsed="false">
      <c r="B326" s="24" t="n">
        <v>46376</v>
      </c>
      <c r="H326" s="43"/>
      <c r="I326" s="43"/>
      <c r="J326" s="28" t="n">
        <f aca="false">SUM(I326-H326)/10</f>
        <v>0</v>
      </c>
      <c r="M326" s="30"/>
      <c r="N326" s="31"/>
      <c r="O326" s="30"/>
      <c r="P326" s="30"/>
      <c r="Q326" s="33"/>
      <c r="R326" s="30"/>
      <c r="S326" s="30"/>
      <c r="T326" s="30"/>
      <c r="U326" s="30"/>
      <c r="V326" s="30"/>
      <c r="W326" s="30"/>
    </row>
    <row r="327" customFormat="false" ht="30.65" hidden="false" customHeight="true" outlineLevel="0" collapsed="false">
      <c r="B327" s="24" t="n">
        <v>46377</v>
      </c>
      <c r="H327" s="43"/>
      <c r="I327" s="43"/>
      <c r="J327" s="28" t="n">
        <f aca="false">SUM(I327-H327)/10</f>
        <v>0</v>
      </c>
      <c r="M327" s="30"/>
      <c r="N327" s="31"/>
      <c r="O327" s="30"/>
      <c r="P327" s="30"/>
      <c r="Q327" s="33"/>
      <c r="R327" s="30"/>
      <c r="S327" s="30"/>
      <c r="T327" s="30"/>
      <c r="U327" s="30"/>
      <c r="V327" s="30"/>
      <c r="W327" s="30"/>
    </row>
    <row r="328" customFormat="false" ht="30.65" hidden="false" customHeight="true" outlineLevel="0" collapsed="false">
      <c r="B328" s="24" t="n">
        <v>46378</v>
      </c>
      <c r="H328" s="43"/>
      <c r="I328" s="43"/>
      <c r="J328" s="28" t="n">
        <f aca="false">SUM(I328-H328)/10</f>
        <v>0</v>
      </c>
      <c r="M328" s="30"/>
      <c r="N328" s="31"/>
      <c r="O328" s="30"/>
      <c r="P328" s="30"/>
      <c r="Q328" s="33"/>
      <c r="R328" s="30"/>
      <c r="S328" s="30"/>
      <c r="T328" s="30"/>
      <c r="U328" s="30"/>
      <c r="V328" s="30"/>
      <c r="W328" s="30"/>
    </row>
    <row r="329" customFormat="false" ht="30.65" hidden="false" customHeight="true" outlineLevel="0" collapsed="false">
      <c r="B329" s="24" t="n">
        <v>46379</v>
      </c>
      <c r="H329" s="43"/>
      <c r="I329" s="43"/>
      <c r="J329" s="28" t="n">
        <f aca="false">SUM(I329-H329)/10</f>
        <v>0</v>
      </c>
      <c r="M329" s="30"/>
      <c r="N329" s="31"/>
      <c r="O329" s="30"/>
      <c r="P329" s="30"/>
      <c r="Q329" s="33"/>
      <c r="R329" s="30"/>
      <c r="S329" s="30"/>
      <c r="T329" s="30"/>
      <c r="U329" s="30"/>
      <c r="V329" s="30"/>
      <c r="W329" s="30"/>
    </row>
    <row r="330" customFormat="false" ht="30.65" hidden="false" customHeight="true" outlineLevel="0" collapsed="false">
      <c r="B330" s="24" t="n">
        <v>46380</v>
      </c>
      <c r="H330" s="43"/>
      <c r="I330" s="43"/>
      <c r="J330" s="28" t="n">
        <f aca="false">SUM(I330-H330)/10</f>
        <v>0</v>
      </c>
      <c r="M330" s="30"/>
      <c r="N330" s="31"/>
      <c r="O330" s="30"/>
      <c r="P330" s="30"/>
      <c r="Q330" s="33"/>
      <c r="R330" s="30"/>
      <c r="S330" s="30"/>
      <c r="T330" s="30"/>
      <c r="U330" s="30"/>
      <c r="V330" s="30"/>
      <c r="W330" s="30"/>
    </row>
    <row r="331" customFormat="false" ht="30.65" hidden="false" customHeight="true" outlineLevel="0" collapsed="false">
      <c r="B331" s="24" t="n">
        <v>46381</v>
      </c>
      <c r="H331" s="43"/>
      <c r="I331" s="43"/>
      <c r="J331" s="28" t="n">
        <f aca="false">SUM(I331-H331)/10</f>
        <v>0</v>
      </c>
      <c r="M331" s="30"/>
      <c r="N331" s="31"/>
      <c r="O331" s="30"/>
      <c r="P331" s="30"/>
      <c r="Q331" s="33"/>
      <c r="R331" s="30"/>
      <c r="S331" s="30"/>
      <c r="T331" s="30"/>
      <c r="U331" s="30"/>
      <c r="V331" s="30"/>
      <c r="W331" s="30"/>
    </row>
    <row r="332" customFormat="false" ht="30.65" hidden="false" customHeight="true" outlineLevel="0" collapsed="false">
      <c r="B332" s="24" t="n">
        <v>46382</v>
      </c>
      <c r="H332" s="43"/>
      <c r="I332" s="43"/>
      <c r="J332" s="28" t="n">
        <f aca="false">SUM(I332-H332)/10</f>
        <v>0</v>
      </c>
      <c r="M332" s="30"/>
      <c r="N332" s="31"/>
      <c r="O332" s="30"/>
      <c r="P332" s="30"/>
      <c r="Q332" s="33"/>
      <c r="R332" s="30"/>
      <c r="S332" s="30"/>
      <c r="T332" s="30"/>
      <c r="U332" s="30"/>
      <c r="V332" s="30"/>
      <c r="W332" s="30"/>
    </row>
    <row r="333" customFormat="false" ht="30.65" hidden="false" customHeight="true" outlineLevel="0" collapsed="false">
      <c r="B333" s="24" t="n">
        <v>46383</v>
      </c>
      <c r="H333" s="43"/>
      <c r="I333" s="43"/>
      <c r="J333" s="28" t="n">
        <f aca="false">SUM(I333-H333)/10</f>
        <v>0</v>
      </c>
      <c r="M333" s="30"/>
      <c r="N333" s="31"/>
      <c r="O333" s="30"/>
      <c r="P333" s="30"/>
      <c r="Q333" s="33"/>
      <c r="R333" s="30"/>
      <c r="S333" s="30"/>
      <c r="T333" s="30"/>
      <c r="U333" s="30"/>
      <c r="V333" s="30"/>
      <c r="W333" s="30"/>
    </row>
    <row r="334" customFormat="false" ht="30.65" hidden="false" customHeight="true" outlineLevel="0" collapsed="false">
      <c r="B334" s="24" t="n">
        <v>46384</v>
      </c>
      <c r="H334" s="43"/>
      <c r="I334" s="43"/>
      <c r="J334" s="28" t="n">
        <f aca="false">SUM(I334-H334)/10</f>
        <v>0</v>
      </c>
      <c r="M334" s="30"/>
      <c r="N334" s="31"/>
      <c r="O334" s="30"/>
      <c r="P334" s="30"/>
      <c r="Q334" s="33"/>
      <c r="R334" s="30"/>
      <c r="S334" s="30"/>
      <c r="T334" s="30"/>
      <c r="U334" s="30"/>
      <c r="V334" s="30"/>
      <c r="W334" s="30"/>
    </row>
    <row r="335" customFormat="false" ht="30.65" hidden="false" customHeight="true" outlineLevel="0" collapsed="false">
      <c r="B335" s="24" t="n">
        <v>46385</v>
      </c>
      <c r="H335" s="43"/>
      <c r="I335" s="43"/>
      <c r="J335" s="28" t="n">
        <f aca="false">SUM(I335-H335)/10</f>
        <v>0</v>
      </c>
      <c r="M335" s="30"/>
      <c r="N335" s="31"/>
      <c r="O335" s="30"/>
      <c r="P335" s="30"/>
      <c r="Q335" s="33"/>
      <c r="R335" s="30"/>
      <c r="S335" s="30"/>
      <c r="T335" s="30"/>
      <c r="U335" s="30"/>
      <c r="V335" s="30"/>
      <c r="W335" s="30"/>
    </row>
    <row r="336" customFormat="false" ht="30.65" hidden="false" customHeight="true" outlineLevel="0" collapsed="false">
      <c r="B336" s="24" t="n">
        <v>46386</v>
      </c>
      <c r="H336" s="43"/>
      <c r="I336" s="43"/>
      <c r="J336" s="28" t="n">
        <f aca="false">SUM(I336-H336)/10</f>
        <v>0</v>
      </c>
      <c r="M336" s="30"/>
      <c r="N336" s="31"/>
      <c r="O336" s="30"/>
      <c r="P336" s="30"/>
      <c r="Q336" s="33"/>
      <c r="R336" s="30"/>
      <c r="S336" s="30"/>
      <c r="T336" s="30"/>
      <c r="U336" s="30"/>
      <c r="V336" s="30"/>
      <c r="W336" s="30"/>
    </row>
    <row r="337" customFormat="false" ht="30.65" hidden="false" customHeight="true" outlineLevel="0" collapsed="false">
      <c r="B337" s="24" t="n">
        <v>46387</v>
      </c>
      <c r="H337" s="43"/>
      <c r="I337" s="43"/>
      <c r="J337" s="28" t="n">
        <f aca="false">SUM(I337-H337)/10</f>
        <v>0</v>
      </c>
      <c r="M337" s="30"/>
      <c r="N337" s="31"/>
      <c r="O337" s="30"/>
      <c r="P337" s="30"/>
      <c r="Q337" s="33"/>
      <c r="R337" s="30"/>
      <c r="S337" s="30"/>
      <c r="T337" s="30"/>
      <c r="U337" s="30"/>
      <c r="V337" s="30"/>
      <c r="W337" s="30"/>
    </row>
    <row r="338" customFormat="false" ht="48.05" hidden="false" customHeight="true" outlineLevel="0" collapsed="false">
      <c r="C338" s="19" t="s">
        <v>68</v>
      </c>
      <c r="G338" s="22" t="n">
        <f aca="false">SUM(G2:G337)</f>
        <v>38860.065</v>
      </c>
      <c r="H338" s="43"/>
      <c r="I338" s="43"/>
      <c r="M338" s="30"/>
      <c r="N338" s="22" t="n">
        <f aca="false">SUM(N2:N337)</f>
        <v>36785.05</v>
      </c>
      <c r="O338" s="30"/>
      <c r="P338" s="30"/>
      <c r="Q338" s="22" t="n">
        <f aca="false">SUM(Q2:Q337)</f>
        <v>27600</v>
      </c>
      <c r="R338" s="22" t="n">
        <f aca="false">N338-Q338</f>
        <v>9185.05</v>
      </c>
      <c r="S338" s="30"/>
      <c r="T338" s="30"/>
      <c r="U338" s="30"/>
      <c r="V338" s="30"/>
      <c r="W338" s="30"/>
    </row>
    <row r="339" customFormat="false" ht="15.8" hidden="false" customHeight="false" outlineLevel="0" collapsed="false">
      <c r="H339" s="43"/>
      <c r="I339" s="43"/>
      <c r="M339" s="30"/>
      <c r="N339" s="31"/>
      <c r="O339" s="30"/>
      <c r="P339" s="30"/>
      <c r="Q339" s="33"/>
      <c r="R339" s="30"/>
      <c r="S339" s="30"/>
      <c r="T339" s="30"/>
      <c r="U339" s="30"/>
      <c r="V339" s="30"/>
      <c r="W339" s="30"/>
    </row>
    <row r="340" customFormat="false" ht="15.8" hidden="false" customHeight="false" outlineLevel="0" collapsed="false">
      <c r="H340" s="43"/>
      <c r="I340" s="43"/>
      <c r="M340" s="30"/>
      <c r="N340" s="31"/>
      <c r="O340" s="30"/>
      <c r="P340" s="30"/>
      <c r="Q340" s="33"/>
      <c r="R340" s="30"/>
      <c r="S340" s="30"/>
      <c r="T340" s="30"/>
      <c r="U340" s="30"/>
      <c r="V340" s="30"/>
      <c r="W340" s="30"/>
    </row>
    <row r="341" customFormat="false" ht="15.8" hidden="false" customHeight="false" outlineLevel="0" collapsed="false">
      <c r="H341" s="43"/>
      <c r="I341" s="43"/>
      <c r="M341" s="30"/>
      <c r="N341" s="31"/>
      <c r="O341" s="30"/>
      <c r="P341" s="30"/>
      <c r="Q341" s="33"/>
      <c r="R341" s="30"/>
      <c r="S341" s="30"/>
      <c r="T341" s="30"/>
      <c r="U341" s="30"/>
      <c r="V341" s="30"/>
      <c r="W341" s="30"/>
    </row>
    <row r="342" customFormat="false" ht="15.8" hidden="false" customHeight="false" outlineLevel="0" collapsed="false">
      <c r="H342" s="43"/>
      <c r="I342" s="43"/>
      <c r="M342" s="30"/>
      <c r="N342" s="31"/>
      <c r="O342" s="30"/>
      <c r="P342" s="30"/>
      <c r="Q342" s="33"/>
      <c r="R342" s="30"/>
      <c r="S342" s="30"/>
      <c r="T342" s="30"/>
      <c r="U342" s="30"/>
      <c r="V342" s="30"/>
      <c r="W342" s="30"/>
    </row>
    <row r="343" customFormat="false" ht="15.8" hidden="false" customHeight="false" outlineLevel="0" collapsed="false">
      <c r="H343" s="43"/>
      <c r="I343" s="43"/>
      <c r="M343" s="30"/>
      <c r="N343" s="31"/>
      <c r="O343" s="30"/>
      <c r="P343" s="30"/>
      <c r="Q343" s="33"/>
      <c r="R343" s="30"/>
      <c r="S343" s="30"/>
      <c r="T343" s="30"/>
      <c r="U343" s="30"/>
      <c r="V343" s="30"/>
      <c r="W343" s="30"/>
    </row>
    <row r="344" customFormat="false" ht="15.8" hidden="false" customHeight="false" outlineLevel="0" collapsed="false">
      <c r="H344" s="43"/>
      <c r="I344" s="43"/>
      <c r="M344" s="30"/>
      <c r="N344" s="31"/>
      <c r="O344" s="30"/>
      <c r="P344" s="30"/>
      <c r="Q344" s="33"/>
      <c r="R344" s="30"/>
      <c r="S344" s="30"/>
      <c r="T344" s="30"/>
      <c r="U344" s="30"/>
      <c r="V344" s="30"/>
      <c r="W344" s="30"/>
    </row>
    <row r="345" customFormat="false" ht="15.8" hidden="false" customHeight="false" outlineLevel="0" collapsed="false">
      <c r="H345" s="43"/>
      <c r="I345" s="43"/>
      <c r="M345" s="30"/>
      <c r="N345" s="31"/>
      <c r="O345" s="30"/>
      <c r="P345" s="30"/>
      <c r="Q345" s="33"/>
      <c r="R345" s="30"/>
      <c r="S345" s="30"/>
      <c r="T345" s="30"/>
      <c r="U345" s="30"/>
      <c r="V345" s="30"/>
      <c r="W345" s="30"/>
    </row>
    <row r="346" customFormat="false" ht="15.8" hidden="false" customHeight="false" outlineLevel="0" collapsed="false">
      <c r="H346" s="43"/>
      <c r="I346" s="43"/>
      <c r="M346" s="30"/>
      <c r="N346" s="31"/>
      <c r="O346" s="30"/>
      <c r="P346" s="30"/>
      <c r="Q346" s="33"/>
      <c r="R346" s="30"/>
      <c r="S346" s="30"/>
      <c r="T346" s="30"/>
      <c r="U346" s="30"/>
      <c r="V346" s="30"/>
      <c r="W346" s="30"/>
    </row>
    <row r="347" customFormat="false" ht="15.8" hidden="false" customHeight="false" outlineLevel="0" collapsed="false">
      <c r="H347" s="43"/>
      <c r="I347" s="43"/>
      <c r="M347" s="30"/>
      <c r="N347" s="31"/>
      <c r="O347" s="30"/>
      <c r="P347" s="30"/>
      <c r="Q347" s="33"/>
      <c r="R347" s="30"/>
      <c r="S347" s="30"/>
      <c r="T347" s="30"/>
      <c r="U347" s="30"/>
      <c r="V347" s="30"/>
      <c r="W347" s="30"/>
    </row>
    <row r="348" customFormat="false" ht="15.8" hidden="false" customHeight="false" outlineLevel="0" collapsed="false">
      <c r="H348" s="43"/>
      <c r="I348" s="43"/>
      <c r="M348" s="30"/>
      <c r="N348" s="31"/>
      <c r="O348" s="30"/>
      <c r="P348" s="30"/>
      <c r="Q348" s="33"/>
      <c r="R348" s="30"/>
      <c r="S348" s="30"/>
      <c r="T348" s="30"/>
      <c r="U348" s="30"/>
      <c r="V348" s="30"/>
      <c r="W348" s="30"/>
    </row>
    <row r="349" customFormat="false" ht="15.8" hidden="false" customHeight="false" outlineLevel="0" collapsed="false">
      <c r="H349" s="43"/>
      <c r="I349" s="43"/>
      <c r="M349" s="30"/>
      <c r="N349" s="31"/>
      <c r="O349" s="30"/>
      <c r="P349" s="30"/>
      <c r="Q349" s="33"/>
      <c r="R349" s="30"/>
      <c r="S349" s="30"/>
      <c r="T349" s="30"/>
      <c r="U349" s="30"/>
      <c r="V349" s="30"/>
      <c r="W349" s="30"/>
    </row>
    <row r="350" customFormat="false" ht="15.8" hidden="false" customHeight="false" outlineLevel="0" collapsed="false">
      <c r="H350" s="43"/>
      <c r="I350" s="43"/>
      <c r="M350" s="30"/>
      <c r="N350" s="31"/>
      <c r="O350" s="30"/>
      <c r="P350" s="30"/>
      <c r="Q350" s="33"/>
      <c r="R350" s="30"/>
      <c r="S350" s="30"/>
      <c r="T350" s="30"/>
      <c r="U350" s="30"/>
      <c r="V350" s="30"/>
      <c r="W350" s="30"/>
    </row>
    <row r="351" customFormat="false" ht="15.8" hidden="false" customHeight="false" outlineLevel="0" collapsed="false">
      <c r="H351" s="43"/>
      <c r="I351" s="43"/>
      <c r="M351" s="30"/>
      <c r="N351" s="31"/>
      <c r="O351" s="30"/>
      <c r="P351" s="30"/>
      <c r="Q351" s="33"/>
      <c r="R351" s="30"/>
      <c r="S351" s="30"/>
      <c r="T351" s="30"/>
      <c r="U351" s="30"/>
      <c r="V351" s="30"/>
      <c r="W351" s="30"/>
    </row>
    <row r="352" customFormat="false" ht="15.8" hidden="false" customHeight="false" outlineLevel="0" collapsed="false">
      <c r="H352" s="43"/>
      <c r="I352" s="43"/>
      <c r="M352" s="30"/>
      <c r="N352" s="31"/>
      <c r="O352" s="30"/>
      <c r="P352" s="30"/>
      <c r="Q352" s="33"/>
      <c r="R352" s="30"/>
      <c r="S352" s="30"/>
      <c r="T352" s="30"/>
      <c r="U352" s="30"/>
      <c r="V352" s="30"/>
      <c r="W352" s="30"/>
    </row>
    <row r="353" customFormat="false" ht="15.8" hidden="false" customHeight="false" outlineLevel="0" collapsed="false">
      <c r="H353" s="43"/>
      <c r="I353" s="43"/>
      <c r="M353" s="30"/>
      <c r="N353" s="31"/>
      <c r="O353" s="30"/>
      <c r="P353" s="30"/>
      <c r="Q353" s="33"/>
      <c r="R353" s="30"/>
      <c r="S353" s="30"/>
      <c r="T353" s="30"/>
      <c r="U353" s="30"/>
      <c r="V353" s="30"/>
      <c r="W353" s="30"/>
    </row>
    <row r="354" customFormat="false" ht="15.8" hidden="false" customHeight="false" outlineLevel="0" collapsed="false">
      <c r="H354" s="43"/>
      <c r="I354" s="43"/>
      <c r="M354" s="30"/>
      <c r="N354" s="31"/>
      <c r="O354" s="30"/>
      <c r="P354" s="30"/>
      <c r="Q354" s="33"/>
      <c r="R354" s="30"/>
      <c r="S354" s="30"/>
      <c r="T354" s="30"/>
      <c r="U354" s="30"/>
      <c r="V354" s="30"/>
      <c r="W354" s="30"/>
    </row>
    <row r="355" customFormat="false" ht="15.8" hidden="false" customHeight="false" outlineLevel="0" collapsed="false">
      <c r="H355" s="43"/>
      <c r="I355" s="43"/>
      <c r="M355" s="30"/>
      <c r="N355" s="31"/>
      <c r="O355" s="30"/>
      <c r="P355" s="30"/>
      <c r="Q355" s="33"/>
      <c r="R355" s="30"/>
      <c r="S355" s="30"/>
      <c r="T355" s="30"/>
      <c r="U355" s="30"/>
      <c r="V355" s="30"/>
      <c r="W355" s="30"/>
    </row>
    <row r="356" customFormat="false" ht="15.8" hidden="false" customHeight="false" outlineLevel="0" collapsed="false">
      <c r="H356" s="43"/>
      <c r="I356" s="43"/>
      <c r="M356" s="30"/>
      <c r="N356" s="31"/>
      <c r="O356" s="30"/>
      <c r="P356" s="30"/>
      <c r="Q356" s="33"/>
      <c r="R356" s="30"/>
      <c r="S356" s="30"/>
      <c r="T356" s="30"/>
      <c r="U356" s="30"/>
      <c r="V356" s="30"/>
      <c r="W356" s="30"/>
    </row>
    <row r="357" customFormat="false" ht="15.8" hidden="false" customHeight="false" outlineLevel="0" collapsed="false">
      <c r="H357" s="43"/>
      <c r="I357" s="43"/>
      <c r="M357" s="30"/>
      <c r="N357" s="31"/>
      <c r="O357" s="30"/>
      <c r="P357" s="30"/>
      <c r="Q357" s="33"/>
      <c r="R357" s="30"/>
      <c r="S357" s="30"/>
      <c r="T357" s="30"/>
      <c r="U357" s="30"/>
      <c r="V357" s="30"/>
      <c r="W357" s="30"/>
    </row>
    <row r="358" customFormat="false" ht="15.8" hidden="false" customHeight="false" outlineLevel="0" collapsed="false">
      <c r="H358" s="43"/>
      <c r="I358" s="43"/>
      <c r="M358" s="30"/>
      <c r="N358" s="31"/>
      <c r="O358" s="30"/>
      <c r="P358" s="30"/>
      <c r="Q358" s="33"/>
      <c r="R358" s="30"/>
      <c r="S358" s="30"/>
      <c r="T358" s="30"/>
      <c r="U358" s="30"/>
      <c r="V358" s="30"/>
      <c r="W358" s="30"/>
    </row>
    <row r="359" customFormat="false" ht="15.8" hidden="false" customHeight="false" outlineLevel="0" collapsed="false">
      <c r="H359" s="43"/>
      <c r="I359" s="43"/>
      <c r="M359" s="30"/>
      <c r="N359" s="31"/>
      <c r="O359" s="30"/>
      <c r="P359" s="30"/>
      <c r="Q359" s="33"/>
      <c r="R359" s="30"/>
      <c r="S359" s="30"/>
      <c r="T359" s="30"/>
      <c r="U359" s="30"/>
      <c r="V359" s="30"/>
      <c r="W359" s="30"/>
    </row>
    <row r="360" customFormat="false" ht="15.8" hidden="false" customHeight="false" outlineLevel="0" collapsed="false">
      <c r="H360" s="43"/>
      <c r="I360" s="43"/>
      <c r="M360" s="30"/>
      <c r="N360" s="31"/>
      <c r="O360" s="30"/>
      <c r="P360" s="30"/>
      <c r="Q360" s="33"/>
      <c r="R360" s="30"/>
      <c r="S360" s="30"/>
      <c r="T360" s="30"/>
      <c r="U360" s="30"/>
      <c r="V360" s="30"/>
      <c r="W360" s="30"/>
    </row>
    <row r="361" customFormat="false" ht="15.8" hidden="false" customHeight="false" outlineLevel="0" collapsed="false">
      <c r="H361" s="43"/>
      <c r="I361" s="43"/>
      <c r="M361" s="30"/>
      <c r="N361" s="31"/>
      <c r="O361" s="30"/>
      <c r="P361" s="30"/>
      <c r="Q361" s="33"/>
      <c r="R361" s="30"/>
      <c r="S361" s="30"/>
      <c r="T361" s="30"/>
      <c r="U361" s="30"/>
      <c r="V361" s="30"/>
      <c r="W361" s="30"/>
    </row>
    <row r="362" customFormat="false" ht="15.8" hidden="false" customHeight="false" outlineLevel="0" collapsed="false">
      <c r="H362" s="43"/>
      <c r="I362" s="43"/>
      <c r="M362" s="30"/>
      <c r="N362" s="31"/>
      <c r="O362" s="30"/>
      <c r="P362" s="30"/>
      <c r="Q362" s="33"/>
      <c r="R362" s="30"/>
      <c r="S362" s="30"/>
      <c r="T362" s="30"/>
      <c r="U362" s="30"/>
      <c r="V362" s="30"/>
      <c r="W362" s="30"/>
    </row>
    <row r="363" customFormat="false" ht="15.8" hidden="false" customHeight="false" outlineLevel="0" collapsed="false">
      <c r="H363" s="43"/>
      <c r="I363" s="43"/>
      <c r="M363" s="30"/>
      <c r="N363" s="31"/>
      <c r="O363" s="30"/>
      <c r="P363" s="30"/>
      <c r="Q363" s="33"/>
      <c r="R363" s="30"/>
      <c r="S363" s="30"/>
      <c r="T363" s="30"/>
      <c r="U363" s="30"/>
      <c r="V363" s="30"/>
      <c r="W363" s="30"/>
    </row>
    <row r="364" customFormat="false" ht="15.8" hidden="false" customHeight="false" outlineLevel="0" collapsed="false">
      <c r="H364" s="43"/>
      <c r="I364" s="43"/>
      <c r="M364" s="30"/>
      <c r="N364" s="31"/>
      <c r="O364" s="30"/>
      <c r="P364" s="30"/>
      <c r="Q364" s="33"/>
      <c r="R364" s="30"/>
      <c r="S364" s="30"/>
      <c r="T364" s="30"/>
      <c r="U364" s="30"/>
      <c r="V364" s="30"/>
      <c r="W364" s="30"/>
    </row>
    <row r="365" customFormat="false" ht="15.8" hidden="false" customHeight="false" outlineLevel="0" collapsed="false">
      <c r="H365" s="43"/>
      <c r="I365" s="43"/>
      <c r="M365" s="30"/>
      <c r="N365" s="31"/>
      <c r="O365" s="30"/>
      <c r="P365" s="30"/>
      <c r="Q365" s="33"/>
      <c r="R365" s="30"/>
      <c r="S365" s="30"/>
      <c r="T365" s="30"/>
      <c r="U365" s="30"/>
      <c r="V365" s="30"/>
      <c r="W365" s="30"/>
    </row>
    <row r="366" customFormat="false" ht="15.8" hidden="false" customHeight="false" outlineLevel="0" collapsed="false">
      <c r="H366" s="43"/>
      <c r="I366" s="43"/>
      <c r="M366" s="30"/>
      <c r="N366" s="31"/>
      <c r="O366" s="30"/>
      <c r="P366" s="30"/>
      <c r="Q366" s="33"/>
      <c r="R366" s="30"/>
      <c r="S366" s="30"/>
      <c r="T366" s="30"/>
      <c r="U366" s="30"/>
      <c r="V366" s="30"/>
      <c r="W366" s="30"/>
    </row>
    <row r="367" customFormat="false" ht="15.8" hidden="false" customHeight="false" outlineLevel="0" collapsed="false">
      <c r="H367" s="43"/>
      <c r="I367" s="43"/>
      <c r="M367" s="30"/>
      <c r="N367" s="31"/>
      <c r="O367" s="30"/>
      <c r="P367" s="30"/>
      <c r="Q367" s="33"/>
      <c r="R367" s="30"/>
      <c r="S367" s="30"/>
      <c r="T367" s="30"/>
      <c r="U367" s="30"/>
      <c r="V367" s="30"/>
      <c r="W367" s="30"/>
    </row>
    <row r="368" customFormat="false" ht="15.8" hidden="false" customHeight="false" outlineLevel="0" collapsed="false">
      <c r="H368" s="43"/>
      <c r="I368" s="43"/>
      <c r="M368" s="30"/>
      <c r="N368" s="31"/>
      <c r="O368" s="30"/>
      <c r="P368" s="30"/>
      <c r="Q368" s="33"/>
      <c r="R368" s="30"/>
      <c r="S368" s="30"/>
      <c r="T368" s="30"/>
      <c r="U368" s="30"/>
      <c r="V368" s="30"/>
      <c r="W368" s="30"/>
    </row>
    <row r="369" customFormat="false" ht="15.8" hidden="false" customHeight="false" outlineLevel="0" collapsed="false">
      <c r="H369" s="43"/>
      <c r="I369" s="43"/>
      <c r="M369" s="30"/>
      <c r="N369" s="31"/>
      <c r="O369" s="30"/>
      <c r="P369" s="30"/>
      <c r="Q369" s="33"/>
      <c r="R369" s="30"/>
      <c r="S369" s="30"/>
      <c r="T369" s="30"/>
      <c r="U369" s="30"/>
      <c r="V369" s="30"/>
      <c r="W369" s="30"/>
    </row>
    <row r="370" customFormat="false" ht="15.8" hidden="false" customHeight="false" outlineLevel="0" collapsed="false">
      <c r="H370" s="43"/>
      <c r="I370" s="43"/>
      <c r="M370" s="30"/>
      <c r="N370" s="31"/>
      <c r="O370" s="30"/>
      <c r="P370" s="30"/>
      <c r="Q370" s="33"/>
      <c r="R370" s="30"/>
      <c r="S370" s="30"/>
      <c r="T370" s="30"/>
      <c r="U370" s="30"/>
      <c r="V370" s="30"/>
      <c r="W370" s="30"/>
    </row>
    <row r="371" customFormat="false" ht="15.8" hidden="false" customHeight="false" outlineLevel="0" collapsed="false">
      <c r="H371" s="43"/>
      <c r="I371" s="43"/>
      <c r="M371" s="30"/>
      <c r="N371" s="31"/>
      <c r="O371" s="30"/>
      <c r="P371" s="30"/>
      <c r="Q371" s="33"/>
      <c r="R371" s="30"/>
      <c r="S371" s="30"/>
      <c r="T371" s="30"/>
      <c r="U371" s="30"/>
      <c r="V371" s="30"/>
      <c r="W371" s="30"/>
    </row>
    <row r="372" customFormat="false" ht="15.8" hidden="false" customHeight="false" outlineLevel="0" collapsed="false">
      <c r="H372" s="43"/>
      <c r="I372" s="43"/>
      <c r="M372" s="30"/>
      <c r="N372" s="31"/>
      <c r="O372" s="30"/>
      <c r="P372" s="30"/>
      <c r="Q372" s="33"/>
      <c r="R372" s="30"/>
      <c r="S372" s="30"/>
      <c r="T372" s="30"/>
      <c r="U372" s="30"/>
      <c r="V372" s="30"/>
      <c r="W372" s="30"/>
    </row>
    <row r="373" customFormat="false" ht="15.8" hidden="false" customHeight="false" outlineLevel="0" collapsed="false">
      <c r="H373" s="43"/>
      <c r="I373" s="43"/>
      <c r="M373" s="30"/>
      <c r="N373" s="31"/>
      <c r="O373" s="30"/>
      <c r="P373" s="30"/>
      <c r="Q373" s="33"/>
      <c r="R373" s="30"/>
      <c r="S373" s="30"/>
      <c r="T373" s="30"/>
      <c r="U373" s="30"/>
      <c r="V373" s="30"/>
      <c r="W373" s="30"/>
    </row>
    <row r="374" customFormat="false" ht="15.8" hidden="false" customHeight="false" outlineLevel="0" collapsed="false">
      <c r="H374" s="43"/>
      <c r="I374" s="43"/>
      <c r="M374" s="30"/>
      <c r="N374" s="31"/>
      <c r="O374" s="30"/>
      <c r="P374" s="30"/>
      <c r="Q374" s="33"/>
      <c r="R374" s="30"/>
      <c r="S374" s="30"/>
      <c r="T374" s="30"/>
      <c r="U374" s="30"/>
      <c r="V374" s="30"/>
      <c r="W374" s="30"/>
    </row>
    <row r="375" customFormat="false" ht="15.8" hidden="false" customHeight="false" outlineLevel="0" collapsed="false">
      <c r="H375" s="43"/>
      <c r="I375" s="43"/>
      <c r="M375" s="30"/>
      <c r="N375" s="31"/>
      <c r="O375" s="30"/>
      <c r="P375" s="30"/>
      <c r="Q375" s="33"/>
      <c r="R375" s="30"/>
      <c r="S375" s="30"/>
      <c r="T375" s="30"/>
      <c r="U375" s="30"/>
      <c r="V375" s="30"/>
      <c r="W375" s="30"/>
    </row>
    <row r="376" customFormat="false" ht="15.8" hidden="false" customHeight="false" outlineLevel="0" collapsed="false">
      <c r="H376" s="43"/>
      <c r="I376" s="43"/>
      <c r="M376" s="30"/>
      <c r="N376" s="31"/>
      <c r="O376" s="30"/>
      <c r="P376" s="30"/>
      <c r="Q376" s="33"/>
      <c r="R376" s="30"/>
      <c r="S376" s="30"/>
      <c r="T376" s="30"/>
      <c r="U376" s="30"/>
      <c r="V376" s="30"/>
      <c r="W376" s="30"/>
    </row>
    <row r="377" customFormat="false" ht="15.8" hidden="false" customHeight="false" outlineLevel="0" collapsed="false">
      <c r="H377" s="43"/>
      <c r="I377" s="43"/>
      <c r="M377" s="30"/>
      <c r="N377" s="31"/>
      <c r="O377" s="30"/>
      <c r="P377" s="30"/>
      <c r="Q377" s="33"/>
      <c r="R377" s="30"/>
      <c r="S377" s="30"/>
      <c r="T377" s="30"/>
      <c r="U377" s="30"/>
      <c r="V377" s="30"/>
      <c r="W377" s="30"/>
    </row>
    <row r="378" customFormat="false" ht="15.8" hidden="false" customHeight="false" outlineLevel="0" collapsed="false">
      <c r="H378" s="43"/>
      <c r="I378" s="43"/>
      <c r="M378" s="30"/>
      <c r="N378" s="31"/>
      <c r="O378" s="30"/>
      <c r="P378" s="30"/>
      <c r="Q378" s="33"/>
      <c r="R378" s="30"/>
      <c r="S378" s="30"/>
      <c r="T378" s="30"/>
      <c r="U378" s="30"/>
      <c r="V378" s="30"/>
      <c r="W378" s="30"/>
    </row>
    <row r="379" customFormat="false" ht="15.8" hidden="false" customHeight="false" outlineLevel="0" collapsed="false">
      <c r="H379" s="43"/>
      <c r="I379" s="43"/>
      <c r="M379" s="30"/>
      <c r="N379" s="31"/>
      <c r="O379" s="30"/>
      <c r="P379" s="30"/>
      <c r="Q379" s="33"/>
      <c r="R379" s="30"/>
      <c r="S379" s="30"/>
      <c r="T379" s="30"/>
      <c r="U379" s="30"/>
      <c r="V379" s="30"/>
      <c r="W379" s="30"/>
    </row>
    <row r="380" customFormat="false" ht="15.8" hidden="false" customHeight="false" outlineLevel="0" collapsed="false">
      <c r="H380" s="43"/>
      <c r="I380" s="43"/>
      <c r="M380" s="30"/>
      <c r="N380" s="31"/>
      <c r="O380" s="30"/>
      <c r="P380" s="30"/>
      <c r="Q380" s="33"/>
      <c r="R380" s="30"/>
      <c r="S380" s="30"/>
      <c r="T380" s="30"/>
      <c r="U380" s="30"/>
      <c r="V380" s="30"/>
      <c r="W380" s="30"/>
    </row>
    <row r="381" customFormat="false" ht="15.8" hidden="false" customHeight="false" outlineLevel="0" collapsed="false">
      <c r="H381" s="43"/>
      <c r="I381" s="43"/>
      <c r="M381" s="30"/>
      <c r="N381" s="31"/>
      <c r="O381" s="30"/>
      <c r="P381" s="30"/>
      <c r="Q381" s="33"/>
      <c r="R381" s="30"/>
      <c r="S381" s="30"/>
      <c r="T381" s="30"/>
      <c r="U381" s="30"/>
      <c r="V381" s="30"/>
      <c r="W381" s="30"/>
    </row>
    <row r="382" customFormat="false" ht="15.8" hidden="false" customHeight="false" outlineLevel="0" collapsed="false">
      <c r="H382" s="43"/>
      <c r="I382" s="43"/>
      <c r="M382" s="30"/>
      <c r="N382" s="31"/>
      <c r="O382" s="30"/>
      <c r="P382" s="30"/>
      <c r="Q382" s="33"/>
      <c r="R382" s="30"/>
      <c r="S382" s="30"/>
      <c r="T382" s="30"/>
      <c r="U382" s="30"/>
      <c r="V382" s="30"/>
      <c r="W382" s="30"/>
    </row>
    <row r="383" customFormat="false" ht="15.8" hidden="false" customHeight="false" outlineLevel="0" collapsed="false">
      <c r="H383" s="43"/>
      <c r="I383" s="43"/>
      <c r="M383" s="30"/>
      <c r="N383" s="31"/>
      <c r="O383" s="30"/>
      <c r="P383" s="30"/>
      <c r="Q383" s="33"/>
      <c r="R383" s="30"/>
      <c r="S383" s="30"/>
      <c r="T383" s="30"/>
      <c r="U383" s="30"/>
      <c r="V383" s="30"/>
      <c r="W383" s="30"/>
    </row>
    <row r="384" customFormat="false" ht="15.8" hidden="false" customHeight="false" outlineLevel="0" collapsed="false">
      <c r="H384" s="43"/>
      <c r="I384" s="43"/>
      <c r="M384" s="30"/>
      <c r="N384" s="31"/>
      <c r="O384" s="30"/>
      <c r="P384" s="30"/>
      <c r="Q384" s="33"/>
      <c r="R384" s="30"/>
      <c r="S384" s="30"/>
      <c r="T384" s="30"/>
      <c r="U384" s="30"/>
      <c r="V384" s="30"/>
      <c r="W384" s="30"/>
    </row>
    <row r="385" customFormat="false" ht="15.8" hidden="false" customHeight="false" outlineLevel="0" collapsed="false">
      <c r="H385" s="43"/>
      <c r="I385" s="43"/>
      <c r="M385" s="30"/>
      <c r="N385" s="31"/>
      <c r="O385" s="30"/>
      <c r="P385" s="30"/>
      <c r="Q385" s="33"/>
      <c r="R385" s="30"/>
      <c r="S385" s="30"/>
      <c r="T385" s="30"/>
      <c r="U385" s="30"/>
      <c r="V385" s="30"/>
      <c r="W385" s="30"/>
    </row>
    <row r="386" customFormat="false" ht="15.8" hidden="false" customHeight="false" outlineLevel="0" collapsed="false">
      <c r="H386" s="43"/>
      <c r="I386" s="43"/>
      <c r="M386" s="30"/>
      <c r="N386" s="31"/>
      <c r="O386" s="30"/>
      <c r="P386" s="30"/>
      <c r="Q386" s="33"/>
      <c r="R386" s="30"/>
      <c r="S386" s="30"/>
      <c r="T386" s="30"/>
      <c r="U386" s="30"/>
      <c r="V386" s="30"/>
      <c r="W386" s="30"/>
    </row>
    <row r="387" customFormat="false" ht="15.8" hidden="false" customHeight="false" outlineLevel="0" collapsed="false">
      <c r="H387" s="43"/>
      <c r="I387" s="43"/>
      <c r="M387" s="30"/>
      <c r="N387" s="31"/>
      <c r="O387" s="30"/>
      <c r="P387" s="30"/>
      <c r="Q387" s="33"/>
      <c r="R387" s="30"/>
      <c r="S387" s="30"/>
      <c r="T387" s="30"/>
      <c r="U387" s="30"/>
      <c r="V387" s="30"/>
      <c r="W387" s="30"/>
    </row>
    <row r="388" customFormat="false" ht="15.8" hidden="false" customHeight="false" outlineLevel="0" collapsed="false">
      <c r="H388" s="43"/>
      <c r="I388" s="43"/>
      <c r="M388" s="30"/>
      <c r="N388" s="31"/>
      <c r="O388" s="30"/>
      <c r="P388" s="30"/>
      <c r="Q388" s="33"/>
      <c r="R388" s="30"/>
      <c r="S388" s="30"/>
      <c r="T388" s="30"/>
      <c r="U388" s="30"/>
      <c r="V388" s="30"/>
      <c r="W388" s="30"/>
    </row>
    <row r="389" customFormat="false" ht="15.8" hidden="false" customHeight="false" outlineLevel="0" collapsed="false">
      <c r="H389" s="43"/>
      <c r="I389" s="43"/>
      <c r="M389" s="30"/>
      <c r="N389" s="31"/>
      <c r="O389" s="30"/>
      <c r="P389" s="30"/>
      <c r="Q389" s="33"/>
      <c r="R389" s="30"/>
      <c r="S389" s="30"/>
      <c r="T389" s="30"/>
      <c r="U389" s="30"/>
      <c r="V389" s="30"/>
      <c r="W389" s="30"/>
    </row>
    <row r="390" customFormat="false" ht="15.8" hidden="false" customHeight="false" outlineLevel="0" collapsed="false">
      <c r="H390" s="43"/>
      <c r="I390" s="43"/>
      <c r="M390" s="30"/>
      <c r="N390" s="31"/>
      <c r="O390" s="30"/>
      <c r="P390" s="30"/>
      <c r="Q390" s="33"/>
      <c r="R390" s="30"/>
      <c r="S390" s="30"/>
      <c r="T390" s="30"/>
      <c r="U390" s="30"/>
      <c r="V390" s="30"/>
      <c r="W390" s="30"/>
    </row>
    <row r="391" customFormat="false" ht="15.8" hidden="false" customHeight="false" outlineLevel="0" collapsed="false">
      <c r="H391" s="43"/>
      <c r="I391" s="43"/>
      <c r="M391" s="30"/>
      <c r="N391" s="31"/>
      <c r="O391" s="30"/>
      <c r="P391" s="30"/>
      <c r="Q391" s="33"/>
      <c r="R391" s="30"/>
      <c r="S391" s="30"/>
      <c r="T391" s="30"/>
      <c r="U391" s="30"/>
      <c r="V391" s="30"/>
      <c r="W391" s="30"/>
    </row>
    <row r="392" customFormat="false" ht="15.8" hidden="false" customHeight="false" outlineLevel="0" collapsed="false">
      <c r="H392" s="43"/>
      <c r="I392" s="43"/>
      <c r="M392" s="30"/>
      <c r="N392" s="31"/>
      <c r="O392" s="30"/>
      <c r="P392" s="30"/>
      <c r="Q392" s="33"/>
      <c r="R392" s="30"/>
      <c r="S392" s="30"/>
      <c r="T392" s="30"/>
      <c r="U392" s="30"/>
      <c r="V392" s="30"/>
      <c r="W392" s="30"/>
    </row>
    <row r="393" customFormat="false" ht="15.8" hidden="false" customHeight="false" outlineLevel="0" collapsed="false">
      <c r="H393" s="43"/>
      <c r="I393" s="43"/>
      <c r="M393" s="30"/>
      <c r="N393" s="31"/>
      <c r="O393" s="30"/>
      <c r="P393" s="30"/>
      <c r="Q393" s="33"/>
      <c r="R393" s="30"/>
      <c r="S393" s="30"/>
      <c r="T393" s="30"/>
      <c r="U393" s="30"/>
      <c r="V393" s="30"/>
      <c r="W393" s="30"/>
    </row>
    <row r="394" customFormat="false" ht="15.8" hidden="false" customHeight="false" outlineLevel="0" collapsed="false">
      <c r="H394" s="43"/>
      <c r="I394" s="43"/>
      <c r="M394" s="30"/>
      <c r="N394" s="31"/>
      <c r="O394" s="30"/>
      <c r="P394" s="30"/>
      <c r="Q394" s="33"/>
      <c r="R394" s="30"/>
      <c r="S394" s="30"/>
      <c r="T394" s="30"/>
      <c r="U394" s="30"/>
      <c r="V394" s="30"/>
      <c r="W394" s="30"/>
    </row>
    <row r="395" customFormat="false" ht="15.8" hidden="false" customHeight="false" outlineLevel="0" collapsed="false">
      <c r="H395" s="43"/>
      <c r="I395" s="43"/>
      <c r="M395" s="30"/>
      <c r="N395" s="31"/>
      <c r="O395" s="30"/>
      <c r="P395" s="30"/>
      <c r="Q395" s="33"/>
      <c r="R395" s="30"/>
      <c r="S395" s="30"/>
      <c r="T395" s="30"/>
      <c r="U395" s="30"/>
      <c r="V395" s="30"/>
      <c r="W395" s="30"/>
    </row>
    <row r="396" customFormat="false" ht="15.8" hidden="false" customHeight="false" outlineLevel="0" collapsed="false">
      <c r="H396" s="43"/>
      <c r="I396" s="43"/>
      <c r="M396" s="30"/>
      <c r="N396" s="31"/>
      <c r="O396" s="30"/>
      <c r="P396" s="30"/>
      <c r="Q396" s="33"/>
      <c r="R396" s="30"/>
      <c r="S396" s="30"/>
      <c r="T396" s="30"/>
      <c r="U396" s="30"/>
      <c r="V396" s="30"/>
      <c r="W396" s="30"/>
    </row>
    <row r="397" customFormat="false" ht="15.8" hidden="false" customHeight="false" outlineLevel="0" collapsed="false">
      <c r="H397" s="43"/>
      <c r="I397" s="43"/>
      <c r="M397" s="30"/>
      <c r="N397" s="31"/>
      <c r="O397" s="30"/>
      <c r="P397" s="30"/>
      <c r="Q397" s="33"/>
      <c r="R397" s="30"/>
      <c r="S397" s="30"/>
      <c r="T397" s="30"/>
      <c r="U397" s="30"/>
      <c r="V397" s="30"/>
      <c r="W397" s="30"/>
    </row>
    <row r="398" customFormat="false" ht="15.8" hidden="false" customHeight="false" outlineLevel="0" collapsed="false">
      <c r="H398" s="43"/>
      <c r="I398" s="43"/>
      <c r="M398" s="30"/>
      <c r="N398" s="31"/>
      <c r="O398" s="30"/>
      <c r="P398" s="30"/>
      <c r="Q398" s="33"/>
      <c r="R398" s="30"/>
      <c r="S398" s="30"/>
      <c r="T398" s="30"/>
      <c r="U398" s="30"/>
      <c r="V398" s="30"/>
      <c r="W398" s="30"/>
    </row>
    <row r="399" customFormat="false" ht="15.8" hidden="false" customHeight="false" outlineLevel="0" collapsed="false">
      <c r="H399" s="43"/>
      <c r="I399" s="43"/>
      <c r="M399" s="30"/>
      <c r="N399" s="31"/>
      <c r="O399" s="30"/>
      <c r="P399" s="30"/>
      <c r="Q399" s="33"/>
      <c r="R399" s="30"/>
      <c r="S399" s="30"/>
      <c r="T399" s="30"/>
      <c r="U399" s="30"/>
      <c r="V399" s="30"/>
      <c r="W399" s="30"/>
    </row>
    <row r="400" customFormat="false" ht="15.8" hidden="false" customHeight="false" outlineLevel="0" collapsed="false">
      <c r="H400" s="43"/>
      <c r="I400" s="43"/>
      <c r="M400" s="30"/>
      <c r="N400" s="31"/>
      <c r="O400" s="30"/>
      <c r="P400" s="30"/>
      <c r="Q400" s="33"/>
      <c r="R400" s="30"/>
      <c r="S400" s="30"/>
      <c r="T400" s="30"/>
      <c r="U400" s="30"/>
      <c r="V400" s="30"/>
      <c r="W400" s="30"/>
    </row>
    <row r="401" customFormat="false" ht="15.8" hidden="false" customHeight="false" outlineLevel="0" collapsed="false">
      <c r="H401" s="43"/>
      <c r="I401" s="43"/>
      <c r="M401" s="30"/>
      <c r="N401" s="31"/>
      <c r="O401" s="30"/>
      <c r="P401" s="30"/>
      <c r="Q401" s="33"/>
      <c r="R401" s="30"/>
      <c r="S401" s="30"/>
      <c r="T401" s="30"/>
      <c r="U401" s="30"/>
      <c r="V401" s="30"/>
      <c r="W401" s="30"/>
    </row>
    <row r="402" customFormat="false" ht="15.8" hidden="false" customHeight="false" outlineLevel="0" collapsed="false">
      <c r="H402" s="43"/>
      <c r="I402" s="43"/>
      <c r="M402" s="30"/>
      <c r="N402" s="31"/>
      <c r="O402" s="30"/>
      <c r="P402" s="30"/>
      <c r="Q402" s="33"/>
      <c r="R402" s="30"/>
      <c r="S402" s="30"/>
      <c r="T402" s="30"/>
      <c r="U402" s="30"/>
      <c r="V402" s="30"/>
      <c r="W402" s="30"/>
    </row>
    <row r="403" customFormat="false" ht="15.8" hidden="false" customHeight="false" outlineLevel="0" collapsed="false">
      <c r="H403" s="43"/>
      <c r="I403" s="43"/>
      <c r="M403" s="30"/>
      <c r="N403" s="31"/>
      <c r="O403" s="30"/>
      <c r="P403" s="30"/>
      <c r="Q403" s="33"/>
      <c r="R403" s="30"/>
      <c r="S403" s="30"/>
      <c r="T403" s="30"/>
      <c r="U403" s="30"/>
      <c r="V403" s="30"/>
      <c r="W403" s="30"/>
    </row>
    <row r="404" customFormat="false" ht="15.8" hidden="false" customHeight="false" outlineLevel="0" collapsed="false">
      <c r="H404" s="43"/>
      <c r="I404" s="43"/>
      <c r="M404" s="30"/>
      <c r="N404" s="31"/>
      <c r="O404" s="30"/>
      <c r="P404" s="30"/>
      <c r="Q404" s="33"/>
      <c r="R404" s="30"/>
      <c r="S404" s="30"/>
      <c r="T404" s="30"/>
      <c r="U404" s="30"/>
      <c r="V404" s="30"/>
      <c r="W404" s="30"/>
    </row>
    <row r="405" customFormat="false" ht="15.8" hidden="false" customHeight="false" outlineLevel="0" collapsed="false">
      <c r="H405" s="43"/>
      <c r="I405" s="43"/>
      <c r="M405" s="30"/>
      <c r="N405" s="31"/>
      <c r="O405" s="30"/>
      <c r="P405" s="30"/>
      <c r="Q405" s="33"/>
      <c r="R405" s="30"/>
      <c r="S405" s="30"/>
      <c r="T405" s="30"/>
      <c r="U405" s="30"/>
      <c r="V405" s="30"/>
      <c r="W405" s="30"/>
    </row>
    <row r="406" customFormat="false" ht="15.8" hidden="false" customHeight="false" outlineLevel="0" collapsed="false">
      <c r="H406" s="43"/>
      <c r="I406" s="43"/>
    </row>
    <row r="407" customFormat="false" ht="15.8" hidden="false" customHeight="false" outlineLevel="0" collapsed="false">
      <c r="H407" s="43"/>
      <c r="I407" s="43"/>
    </row>
    <row r="408" customFormat="false" ht="15.8" hidden="false" customHeight="false" outlineLevel="0" collapsed="false">
      <c r="H408" s="43"/>
      <c r="I408" s="43"/>
    </row>
    <row r="409" customFormat="false" ht="15.8" hidden="false" customHeight="false" outlineLevel="0" collapsed="false">
      <c r="H409" s="43"/>
      <c r="I409" s="43"/>
    </row>
    <row r="410" customFormat="false" ht="15.8" hidden="false" customHeight="false" outlineLevel="0" collapsed="false">
      <c r="H410" s="43"/>
      <c r="I410" s="43"/>
    </row>
    <row r="411" customFormat="false" ht="15.8" hidden="false" customHeight="false" outlineLevel="0" collapsed="false">
      <c r="H411" s="43"/>
      <c r="I411" s="43"/>
    </row>
    <row r="412" customFormat="false" ht="15.8" hidden="false" customHeight="false" outlineLevel="0" collapsed="false">
      <c r="H412" s="43"/>
      <c r="I412" s="43"/>
    </row>
    <row r="413" customFormat="false" ht="15.8" hidden="false" customHeight="false" outlineLevel="0" collapsed="false">
      <c r="H413" s="43"/>
      <c r="I413" s="43"/>
    </row>
    <row r="414" customFormat="false" ht="15.8" hidden="false" customHeight="false" outlineLevel="0" collapsed="false">
      <c r="H414" s="43"/>
      <c r="I414" s="43"/>
    </row>
    <row r="415" customFormat="false" ht="15.8" hidden="false" customHeight="false" outlineLevel="0" collapsed="false">
      <c r="H415" s="43"/>
      <c r="I415" s="43"/>
    </row>
    <row r="416" customFormat="false" ht="15.8" hidden="false" customHeight="false" outlineLevel="0" collapsed="false">
      <c r="H416" s="43"/>
      <c r="I416" s="43"/>
    </row>
    <row r="417" customFormat="false" ht="15.8" hidden="false" customHeight="false" outlineLevel="0" collapsed="false">
      <c r="H417" s="43"/>
      <c r="I417" s="43"/>
    </row>
    <row r="418" customFormat="false" ht="15.8" hidden="false" customHeight="false" outlineLevel="0" collapsed="false">
      <c r="H418" s="43"/>
      <c r="I418" s="43"/>
    </row>
    <row r="419" customFormat="false" ht="15.8" hidden="false" customHeight="false" outlineLevel="0" collapsed="false">
      <c r="H419" s="43"/>
      <c r="I419" s="43"/>
    </row>
    <row r="420" customFormat="false" ht="15.8" hidden="false" customHeight="false" outlineLevel="0" collapsed="false">
      <c r="H420" s="43"/>
      <c r="I420" s="43"/>
    </row>
    <row r="421" customFormat="false" ht="15.8" hidden="false" customHeight="false" outlineLevel="0" collapsed="false">
      <c r="H421" s="43"/>
      <c r="I421" s="43"/>
    </row>
    <row r="422" customFormat="false" ht="15.8" hidden="false" customHeight="false" outlineLevel="0" collapsed="false">
      <c r="H422" s="43"/>
      <c r="I422" s="43"/>
    </row>
    <row r="423" customFormat="false" ht="15.8" hidden="false" customHeight="false" outlineLevel="0" collapsed="false">
      <c r="H423" s="43"/>
      <c r="I423" s="43"/>
    </row>
    <row r="424" customFormat="false" ht="15.8" hidden="false" customHeight="false" outlineLevel="0" collapsed="false">
      <c r="H424" s="43"/>
      <c r="I424" s="43"/>
    </row>
    <row r="425" customFormat="false" ht="15.8" hidden="false" customHeight="false" outlineLevel="0" collapsed="false">
      <c r="H425" s="43"/>
      <c r="I425" s="43"/>
    </row>
    <row r="426" customFormat="false" ht="15.8" hidden="false" customHeight="false" outlineLevel="0" collapsed="false">
      <c r="H426" s="43"/>
      <c r="I426" s="43"/>
    </row>
    <row r="427" customFormat="false" ht="15.8" hidden="false" customHeight="false" outlineLevel="0" collapsed="false">
      <c r="H427" s="43"/>
      <c r="I427" s="43"/>
    </row>
    <row r="428" customFormat="false" ht="15.8" hidden="false" customHeight="false" outlineLevel="0" collapsed="false">
      <c r="H428" s="43"/>
      <c r="I428" s="43"/>
    </row>
    <row r="429" customFormat="false" ht="15.8" hidden="false" customHeight="false" outlineLevel="0" collapsed="false">
      <c r="H429" s="43"/>
      <c r="I429" s="43"/>
    </row>
    <row r="430" customFormat="false" ht="15.8" hidden="false" customHeight="false" outlineLevel="0" collapsed="false">
      <c r="H430" s="43"/>
      <c r="I430" s="43"/>
    </row>
    <row r="431" customFormat="false" ht="15.8" hidden="false" customHeight="false" outlineLevel="0" collapsed="false">
      <c r="H431" s="43"/>
      <c r="I431" s="43"/>
    </row>
    <row r="432" customFormat="false" ht="15.8" hidden="false" customHeight="false" outlineLevel="0" collapsed="false">
      <c r="H432" s="43"/>
      <c r="I432" s="43"/>
    </row>
    <row r="433" customFormat="false" ht="15.8" hidden="false" customHeight="false" outlineLevel="0" collapsed="false">
      <c r="H433" s="43"/>
      <c r="I433" s="43"/>
    </row>
    <row r="434" customFormat="false" ht="15.8" hidden="false" customHeight="false" outlineLevel="0" collapsed="false">
      <c r="H434" s="43"/>
      <c r="I434" s="43"/>
    </row>
    <row r="435" customFormat="false" ht="15.8" hidden="false" customHeight="false" outlineLevel="0" collapsed="false">
      <c r="H435" s="43"/>
      <c r="I435" s="43"/>
    </row>
    <row r="436" customFormat="false" ht="15.8" hidden="false" customHeight="false" outlineLevel="0" collapsed="false">
      <c r="H436" s="43"/>
      <c r="I436" s="43"/>
    </row>
    <row r="437" customFormat="false" ht="15.8" hidden="false" customHeight="false" outlineLevel="0" collapsed="false">
      <c r="H437" s="43"/>
      <c r="I437" s="43"/>
    </row>
    <row r="438" customFormat="false" ht="15.8" hidden="false" customHeight="false" outlineLevel="0" collapsed="false">
      <c r="H438" s="43"/>
      <c r="I438" s="43"/>
    </row>
    <row r="439" customFormat="false" ht="15.8" hidden="false" customHeight="false" outlineLevel="0" collapsed="false">
      <c r="H439" s="43"/>
      <c r="I439" s="43"/>
    </row>
    <row r="440" customFormat="false" ht="15.8" hidden="false" customHeight="false" outlineLevel="0" collapsed="false">
      <c r="H440" s="43"/>
      <c r="I440" s="43"/>
    </row>
    <row r="441" customFormat="false" ht="15.8" hidden="false" customHeight="false" outlineLevel="0" collapsed="false">
      <c r="H441" s="43"/>
      <c r="I441" s="43"/>
    </row>
    <row r="442" customFormat="false" ht="15.8" hidden="false" customHeight="false" outlineLevel="0" collapsed="false">
      <c r="H442" s="43"/>
      <c r="I442" s="43"/>
    </row>
    <row r="443" customFormat="false" ht="15.8" hidden="false" customHeight="false" outlineLevel="0" collapsed="false">
      <c r="H443" s="43"/>
      <c r="I443" s="43"/>
    </row>
    <row r="444" customFormat="false" ht="15.8" hidden="false" customHeight="false" outlineLevel="0" collapsed="false">
      <c r="H444" s="43"/>
      <c r="I444" s="43"/>
    </row>
    <row r="445" customFormat="false" ht="15.8" hidden="false" customHeight="false" outlineLevel="0" collapsed="false">
      <c r="H445" s="43"/>
      <c r="I445" s="43"/>
    </row>
    <row r="446" customFormat="false" ht="15.8" hidden="false" customHeight="false" outlineLevel="0" collapsed="false">
      <c r="H446" s="43"/>
      <c r="I446" s="43"/>
    </row>
    <row r="447" customFormat="false" ht="15.8" hidden="false" customHeight="false" outlineLevel="0" collapsed="false">
      <c r="H447" s="43"/>
      <c r="I447" s="43"/>
    </row>
    <row r="448" customFormat="false" ht="15.8" hidden="false" customHeight="false" outlineLevel="0" collapsed="false">
      <c r="H448" s="43"/>
      <c r="I448" s="43"/>
    </row>
    <row r="449" customFormat="false" ht="15.8" hidden="false" customHeight="false" outlineLevel="0" collapsed="false">
      <c r="H449" s="43"/>
      <c r="I449" s="43"/>
    </row>
  </sheetData>
  <printOptions headings="false" gridLines="true" gridLinesSet="true" horizontalCentered="false" verticalCentered="false"/>
  <pageMargins left="0.315277777777778" right="0.315277777777778" top="0.551388888888889" bottom="0.551388888888889" header="0.315277777777778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&amp;L&amp;"-,Kursiv"&amp;12Weekly report to Swedish Tax Agency </oddHeader>
    <oddFooter>&amp;CDeposit date remittance amount:__________________________________________________________&amp;RBank fee 
50 peso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4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290" topLeftCell="A1" activePane="bottomLeft" state="split"/>
      <selection pane="topLeft" activeCell="A1" activeCellId="0" sqref="A1"/>
      <selection pane="bottomLeft" activeCell="A250" activeCellId="1" sqref="B1:D1 A250"/>
    </sheetView>
  </sheetViews>
  <sheetFormatPr defaultColWidth="9.01171875" defaultRowHeight="14.25" customHeight="false" zeroHeight="false" outlineLevelRow="0" outlineLevelCol="0"/>
  <cols>
    <col collapsed="false" customWidth="true" hidden="false" outlineLevel="0" max="1" min="1" style="1" width="5.01"/>
    <col collapsed="false" customWidth="true" hidden="false" outlineLevel="0" max="2" min="2" style="1" width="12.87"/>
    <col collapsed="false" customWidth="true" hidden="false" outlineLevel="0" max="3" min="3" style="1" width="71.49"/>
    <col collapsed="false" customWidth="true" hidden="false" outlineLevel="0" max="4" min="4" style="2" width="12.01"/>
    <col collapsed="false" customWidth="true" hidden="false" outlineLevel="0" max="5" min="5" style="2" width="11.15"/>
    <col collapsed="false" customWidth="true" hidden="false" outlineLevel="0" max="7" min="6" style="3" width="12.5"/>
    <col collapsed="false" customWidth="true" hidden="false" outlineLevel="0" max="8" min="8" style="2" width="6.29"/>
    <col collapsed="false" customWidth="true" hidden="false" outlineLevel="0" max="9" min="9" style="2" width="10.86"/>
    <col collapsed="false" customWidth="true" hidden="false" outlineLevel="0" max="10" min="10" style="2" width="10.01"/>
    <col collapsed="false" customWidth="false" hidden="false" outlineLevel="0" max="15" min="11" style="1" width="9.01"/>
    <col collapsed="false" customWidth="true" hidden="false" outlineLevel="0" max="16" min="16" style="1" width="8.29"/>
    <col collapsed="false" customWidth="false" hidden="false" outlineLevel="0" max="257" min="17" style="1" width="9.01"/>
  </cols>
  <sheetData>
    <row r="1" customFormat="false" ht="57.75" hidden="false" customHeight="false" outlineLevel="0" collapsed="false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0" t="s">
        <v>69</v>
      </c>
      <c r="G1" s="11" t="s">
        <v>6</v>
      </c>
      <c r="H1" s="44" t="s">
        <v>70</v>
      </c>
      <c r="I1" s="44" t="s">
        <v>71</v>
      </c>
      <c r="J1" s="45" t="s">
        <v>72</v>
      </c>
    </row>
    <row r="2" customFormat="false" ht="69" hidden="false" customHeight="true" outlineLevel="0" collapsed="false">
      <c r="A2" s="23" t="str">
        <f aca="false">TEXT(B2,"ddd")</f>
        <v>sö</v>
      </c>
      <c r="B2" s="24" t="n">
        <v>43576</v>
      </c>
      <c r="C2" s="25" t="s">
        <v>73</v>
      </c>
      <c r="D2" s="26" t="n">
        <v>4000</v>
      </c>
      <c r="E2" s="26" t="n">
        <v>2000</v>
      </c>
      <c r="F2" s="22" t="n">
        <f aca="false">(D2-E2)*0.22</f>
        <v>440</v>
      </c>
      <c r="G2" s="22" t="n">
        <f aca="false">(D2-E2)-F2</f>
        <v>1560</v>
      </c>
      <c r="H2" s="46" t="n">
        <v>298</v>
      </c>
      <c r="I2" s="47" t="n">
        <f aca="false">H2/10</f>
        <v>29.8</v>
      </c>
      <c r="J2" s="48" t="n">
        <f aca="false">E2/H2*10</f>
        <v>67.1140939597316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customFormat="false" ht="69" hidden="false" customHeight="true" outlineLevel="0" collapsed="false">
      <c r="A3" s="23" t="str">
        <f aca="false">TEXT(B3,"ddd")</f>
        <v>må</v>
      </c>
      <c r="B3" s="24" t="n">
        <v>43577</v>
      </c>
      <c r="C3" s="25" t="s">
        <v>74</v>
      </c>
      <c r="D3" s="26" t="n">
        <v>2000</v>
      </c>
      <c r="E3" s="26" t="n">
        <v>800</v>
      </c>
      <c r="F3" s="22" t="n">
        <f aca="false">(D3-E3)*0.22</f>
        <v>264</v>
      </c>
      <c r="G3" s="22" t="n">
        <f aca="false">(D3-E3)-F3</f>
        <v>936</v>
      </c>
      <c r="H3" s="46" t="n">
        <v>170</v>
      </c>
      <c r="I3" s="47" t="n">
        <f aca="false">H3/10</f>
        <v>17</v>
      </c>
      <c r="J3" s="48" t="n">
        <f aca="false">E3/H3*10</f>
        <v>47.0588235294118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customFormat="false" ht="69" hidden="false" customHeight="true" outlineLevel="0" collapsed="false">
      <c r="A4" s="23" t="str">
        <f aca="false">TEXT(B4,"ddd")</f>
        <v>ti</v>
      </c>
      <c r="B4" s="24" t="n">
        <v>43578</v>
      </c>
      <c r="C4" s="25" t="s">
        <v>75</v>
      </c>
      <c r="D4" s="26" t="n">
        <v>5000</v>
      </c>
      <c r="E4" s="26" t="n">
        <v>2000</v>
      </c>
      <c r="F4" s="22" t="n">
        <f aca="false">(D4-E4)*0.22</f>
        <v>660</v>
      </c>
      <c r="G4" s="22" t="n">
        <f aca="false">(D4-E4)-F4</f>
        <v>2340</v>
      </c>
      <c r="H4" s="46" t="n">
        <v>331</v>
      </c>
      <c r="I4" s="47" t="n">
        <f aca="false">H4/10</f>
        <v>33.1</v>
      </c>
      <c r="J4" s="48" t="n">
        <f aca="false">E4/H4*10</f>
        <v>60.4229607250755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customFormat="false" ht="69" hidden="false" customHeight="true" outlineLevel="0" collapsed="false">
      <c r="A5" s="23" t="str">
        <f aca="false">TEXT(B5,"ddd")</f>
        <v>on</v>
      </c>
      <c r="B5" s="24" t="n">
        <v>43579</v>
      </c>
      <c r="C5" s="25" t="s">
        <v>76</v>
      </c>
      <c r="D5" s="26" t="n">
        <v>2000</v>
      </c>
      <c r="E5" s="26" t="n">
        <v>600</v>
      </c>
      <c r="F5" s="22" t="n">
        <f aca="false">(D5-E5)*0.22</f>
        <v>308</v>
      </c>
      <c r="G5" s="22" t="n">
        <f aca="false">(D5-E5)-F5</f>
        <v>1092</v>
      </c>
      <c r="H5" s="46" t="n">
        <v>150</v>
      </c>
      <c r="I5" s="47" t="n">
        <f aca="false">H5/10</f>
        <v>15</v>
      </c>
      <c r="J5" s="48" t="n">
        <f aca="false">E5/H5*10</f>
        <v>40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customFormat="false" ht="69" hidden="false" customHeight="true" outlineLevel="0" collapsed="false">
      <c r="A6" s="23" t="str">
        <f aca="false">TEXT(B6,"ddd")</f>
        <v>to</v>
      </c>
      <c r="B6" s="24" t="n">
        <v>43580</v>
      </c>
      <c r="C6" s="25" t="s">
        <v>77</v>
      </c>
      <c r="D6" s="26" t="n">
        <v>2500</v>
      </c>
      <c r="E6" s="26" t="n">
        <v>820</v>
      </c>
      <c r="F6" s="22" t="n">
        <f aca="false">(D6-E6)*0.22</f>
        <v>369.6</v>
      </c>
      <c r="G6" s="22" t="n">
        <f aca="false">(D6-E6)-F6</f>
        <v>1310.4</v>
      </c>
      <c r="H6" s="46" t="n">
        <v>190</v>
      </c>
      <c r="I6" s="47" t="n">
        <f aca="false">H6/10</f>
        <v>19</v>
      </c>
      <c r="J6" s="48" t="n">
        <f aca="false">E6/H6*10</f>
        <v>43.1578947368421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customFormat="false" ht="69" hidden="false" customHeight="true" outlineLevel="0" collapsed="false">
      <c r="A7" s="23" t="str">
        <f aca="false">TEXT(B7,"ddd")</f>
        <v>fr</v>
      </c>
      <c r="B7" s="24" t="n">
        <v>43581</v>
      </c>
      <c r="C7" s="25" t="s">
        <v>78</v>
      </c>
      <c r="D7" s="26" t="n">
        <v>600</v>
      </c>
      <c r="E7" s="26" t="n">
        <v>150</v>
      </c>
      <c r="F7" s="22" t="n">
        <f aca="false">(D7-E7)*0.22</f>
        <v>99</v>
      </c>
      <c r="G7" s="22" t="n">
        <f aca="false">(D7-E7)-F7</f>
        <v>351</v>
      </c>
      <c r="H7" s="46" t="n">
        <v>43</v>
      </c>
      <c r="I7" s="47" t="n">
        <f aca="false">H7/10</f>
        <v>4.3</v>
      </c>
      <c r="J7" s="48" t="n">
        <f aca="false">E7/H7*10</f>
        <v>34.8837209302326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customFormat="false" ht="69" hidden="false" customHeight="true" outlineLevel="0" collapsed="false">
      <c r="A8" s="23" t="str">
        <f aca="false">TEXT(B8,"ddd")</f>
        <v>lö</v>
      </c>
      <c r="B8" s="24" t="n">
        <v>43582</v>
      </c>
      <c r="C8" s="25" t="s">
        <v>79</v>
      </c>
      <c r="D8" s="26" t="n">
        <v>3500</v>
      </c>
      <c r="E8" s="26" t="n">
        <v>1500</v>
      </c>
      <c r="F8" s="22" t="n">
        <f aca="false">(D8-E8)*0.22</f>
        <v>440</v>
      </c>
      <c r="G8" s="22" t="n">
        <f aca="false">(D8-E8)-F8</f>
        <v>1560</v>
      </c>
      <c r="H8" s="46" t="n">
        <v>114</v>
      </c>
      <c r="I8" s="47" t="n">
        <f aca="false">H8/10</f>
        <v>11.4</v>
      </c>
      <c r="J8" s="48" t="n">
        <f aca="false">E8/H8*10</f>
        <v>131.578947368421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customFormat="false" ht="35.25" hidden="false" customHeight="true" outlineLevel="0" collapsed="false">
      <c r="A9" s="49"/>
      <c r="B9" s="50"/>
      <c r="C9" s="51" t="s">
        <v>80</v>
      </c>
      <c r="D9" s="52" t="n">
        <f aca="false">SUM(D2:D8)</f>
        <v>19600</v>
      </c>
      <c r="E9" s="52" t="n">
        <f aca="false">SUM(E2:E8)</f>
        <v>7870</v>
      </c>
      <c r="F9" s="53" t="n">
        <f aca="false">SUM(F2:F8)</f>
        <v>2580.6</v>
      </c>
      <c r="G9" s="54" t="n">
        <f aca="false">SUM(G2:G8)</f>
        <v>9149.4</v>
      </c>
      <c r="H9" s="55" t="n">
        <f aca="false">SUM(H2:H8)</f>
        <v>1296</v>
      </c>
      <c r="I9" s="56" t="n">
        <f aca="false">H9/10</f>
        <v>129.6</v>
      </c>
      <c r="J9" s="57" t="n">
        <f aca="false">E9/H9*10</f>
        <v>60.7253086419753</v>
      </c>
      <c r="K9" s="30"/>
      <c r="L9" s="30"/>
      <c r="M9" s="30"/>
      <c r="N9" s="36"/>
      <c r="O9" s="58"/>
      <c r="P9" s="36"/>
      <c r="Q9" s="30"/>
      <c r="R9" s="30"/>
      <c r="S9" s="30"/>
      <c r="T9" s="30"/>
      <c r="U9" s="30"/>
      <c r="V9" s="30"/>
      <c r="W9" s="30"/>
    </row>
    <row r="10" customFormat="false" ht="69" hidden="false" customHeight="true" outlineLevel="0" collapsed="false">
      <c r="A10" s="23" t="str">
        <f aca="false">TEXT(B10,"ddd")</f>
        <v>sö</v>
      </c>
      <c r="B10" s="24" t="n">
        <v>43583</v>
      </c>
      <c r="C10" s="25" t="s">
        <v>79</v>
      </c>
      <c r="D10" s="26" t="n">
        <v>3000</v>
      </c>
      <c r="E10" s="26" t="n">
        <v>1170</v>
      </c>
      <c r="F10" s="22" t="n">
        <v>330</v>
      </c>
      <c r="G10" s="22" t="n">
        <f aca="false">(D10-E10)-F10</f>
        <v>1500</v>
      </c>
      <c r="H10" s="41" t="n">
        <v>230</v>
      </c>
      <c r="I10" s="47" t="n">
        <f aca="false">H10/10</f>
        <v>23</v>
      </c>
      <c r="J10" s="48" t="n">
        <f aca="false">E10/H10*10</f>
        <v>50.8695652173913</v>
      </c>
      <c r="K10" s="30"/>
      <c r="L10" s="30"/>
      <c r="M10" s="30"/>
      <c r="N10" s="30"/>
      <c r="O10" s="30"/>
      <c r="P10" s="36"/>
      <c r="Q10" s="30"/>
      <c r="R10" s="30"/>
      <c r="S10" s="30"/>
      <c r="T10" s="30"/>
      <c r="U10" s="30"/>
      <c r="V10" s="30"/>
      <c r="W10" s="30"/>
    </row>
    <row r="11" customFormat="false" ht="69" hidden="false" customHeight="true" outlineLevel="0" collapsed="false">
      <c r="A11" s="23" t="str">
        <f aca="false">TEXT(B11,"ddd")</f>
        <v>må</v>
      </c>
      <c r="B11" s="24" t="n">
        <v>43584</v>
      </c>
      <c r="C11" s="25"/>
      <c r="D11" s="26"/>
      <c r="E11" s="26"/>
      <c r="F11" s="22" t="n">
        <f aca="false">(D11-E11)*0.22</f>
        <v>0</v>
      </c>
      <c r="G11" s="22" t="n">
        <f aca="false">(D11-E11)-F11</f>
        <v>0</v>
      </c>
      <c r="H11" s="41"/>
      <c r="I11" s="47" t="n">
        <f aca="false">H11/10</f>
        <v>0</v>
      </c>
      <c r="J11" s="4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customFormat="false" ht="69" hidden="false" customHeight="true" outlineLevel="0" collapsed="false">
      <c r="A12" s="23" t="str">
        <f aca="false">TEXT(B12,"ddd")</f>
        <v>ti</v>
      </c>
      <c r="B12" s="24" t="n">
        <v>43585</v>
      </c>
      <c r="C12" s="25" t="s">
        <v>81</v>
      </c>
      <c r="D12" s="26" t="n">
        <v>2500</v>
      </c>
      <c r="E12" s="26" t="n">
        <v>750</v>
      </c>
      <c r="F12" s="22" t="n">
        <f aca="false">(D12-E12)*0.22</f>
        <v>385</v>
      </c>
      <c r="G12" s="22" t="n">
        <f aca="false">(D12-E12)-F12</f>
        <v>1365</v>
      </c>
      <c r="H12" s="41" t="n">
        <v>201</v>
      </c>
      <c r="I12" s="47" t="n">
        <f aca="false">H12/10</f>
        <v>20.1</v>
      </c>
      <c r="J12" s="48" t="n">
        <f aca="false">E12/H12*10</f>
        <v>37.3134328358209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customFormat="false" ht="69" hidden="false" customHeight="true" outlineLevel="0" collapsed="false">
      <c r="A13" s="23" t="str">
        <f aca="false">TEXT(B13,"ddd")</f>
        <v>on</v>
      </c>
      <c r="B13" s="24" t="n">
        <v>43586</v>
      </c>
      <c r="C13" s="25" t="s">
        <v>81</v>
      </c>
      <c r="D13" s="26" t="n">
        <v>2500</v>
      </c>
      <c r="E13" s="26" t="n">
        <v>750</v>
      </c>
      <c r="F13" s="22" t="n">
        <f aca="false">(D13-E13)*0.22</f>
        <v>385</v>
      </c>
      <c r="G13" s="22" t="n">
        <f aca="false">(D13-E13)-F13</f>
        <v>1365</v>
      </c>
      <c r="H13" s="41" t="n">
        <v>186</v>
      </c>
      <c r="I13" s="47" t="n">
        <f aca="false">H13/10</f>
        <v>18.6</v>
      </c>
      <c r="J13" s="48" t="n">
        <f aca="false">E13/H13*10</f>
        <v>40.3225806451613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customFormat="false" ht="69" hidden="false" customHeight="true" outlineLevel="0" collapsed="false">
      <c r="A14" s="23" t="str">
        <f aca="false">TEXT(B14,"ddd")</f>
        <v>to</v>
      </c>
      <c r="B14" s="24" t="n">
        <v>43587</v>
      </c>
      <c r="C14" s="25" t="s">
        <v>81</v>
      </c>
      <c r="D14" s="26" t="n">
        <v>2500</v>
      </c>
      <c r="E14" s="26" t="n">
        <v>750</v>
      </c>
      <c r="F14" s="22" t="n">
        <f aca="false">(D14-E14)*0.22</f>
        <v>385</v>
      </c>
      <c r="G14" s="22" t="n">
        <f aca="false">(D14-E14)-F14</f>
        <v>1365</v>
      </c>
      <c r="H14" s="41" t="n">
        <v>208</v>
      </c>
      <c r="I14" s="47" t="n">
        <f aca="false">H14/10</f>
        <v>20.8</v>
      </c>
      <c r="J14" s="48" t="n">
        <f aca="false">E14/H14*10</f>
        <v>36.0576923076923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customFormat="false" ht="69" hidden="false" customHeight="true" outlineLevel="0" collapsed="false">
      <c r="A15" s="23" t="str">
        <f aca="false">TEXT(B15,"ddd")</f>
        <v>fr</v>
      </c>
      <c r="B15" s="24" t="n">
        <v>43588</v>
      </c>
      <c r="C15" s="25" t="s">
        <v>81</v>
      </c>
      <c r="D15" s="26" t="n">
        <v>2500</v>
      </c>
      <c r="E15" s="26" t="n">
        <v>750</v>
      </c>
      <c r="F15" s="22" t="n">
        <f aca="false">(D15-E15)*0.22</f>
        <v>385</v>
      </c>
      <c r="G15" s="22" t="n">
        <f aca="false">(D15-E15)-F15</f>
        <v>1365</v>
      </c>
      <c r="H15" s="41" t="n">
        <v>204</v>
      </c>
      <c r="I15" s="47" t="n">
        <f aca="false">H15/10</f>
        <v>20.4</v>
      </c>
      <c r="J15" s="48" t="n">
        <f aca="false">E15/H15*10</f>
        <v>36.7647058823529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customFormat="false" ht="69" hidden="false" customHeight="true" outlineLevel="0" collapsed="false">
      <c r="A16" s="23" t="str">
        <f aca="false">TEXT(B16,"ddd")</f>
        <v>lö</v>
      </c>
      <c r="B16" s="24" t="n">
        <v>43589</v>
      </c>
      <c r="C16" s="25" t="s">
        <v>82</v>
      </c>
      <c r="D16" s="26" t="n">
        <v>1500</v>
      </c>
      <c r="E16" s="26" t="n">
        <v>500</v>
      </c>
      <c r="F16" s="22" t="n">
        <f aca="false">(D16-E16)*0.22</f>
        <v>220</v>
      </c>
      <c r="G16" s="22" t="n">
        <f aca="false">(D16-E16)-F16</f>
        <v>780</v>
      </c>
      <c r="H16" s="41" t="n">
        <v>140</v>
      </c>
      <c r="I16" s="47" t="n">
        <f aca="false">H16/10</f>
        <v>14</v>
      </c>
      <c r="J16" s="48" t="n">
        <f aca="false">E16/H16*10</f>
        <v>35.7142857142857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customFormat="false" ht="35.25" hidden="false" customHeight="true" outlineLevel="0" collapsed="false">
      <c r="A17" s="49"/>
      <c r="B17" s="50"/>
      <c r="C17" s="51" t="s">
        <v>80</v>
      </c>
      <c r="D17" s="52" t="n">
        <f aca="false">SUM(D10:D16)</f>
        <v>14500</v>
      </c>
      <c r="E17" s="52" t="n">
        <f aca="false">SUM(E10:E16)</f>
        <v>4670</v>
      </c>
      <c r="F17" s="53" t="n">
        <f aca="false">SUM(F10:F16)</f>
        <v>2090</v>
      </c>
      <c r="G17" s="54" t="n">
        <f aca="false">SUM(G10:G16)</f>
        <v>7740</v>
      </c>
      <c r="H17" s="55" t="n">
        <f aca="false">SUM(H10:H16)</f>
        <v>1169</v>
      </c>
      <c r="I17" s="56" t="n">
        <f aca="false">H17/10</f>
        <v>116.9</v>
      </c>
      <c r="J17" s="57" t="n">
        <f aca="false">E17/H17*10</f>
        <v>39.9486740804106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customFormat="false" ht="69" hidden="false" customHeight="true" outlineLevel="0" collapsed="false">
      <c r="A18" s="23" t="str">
        <f aca="false">TEXT(B18,"ddd")</f>
        <v>sö</v>
      </c>
      <c r="B18" s="24" t="n">
        <v>43590</v>
      </c>
      <c r="C18" s="25" t="s">
        <v>83</v>
      </c>
      <c r="D18" s="26" t="n">
        <v>3200</v>
      </c>
      <c r="E18" s="26" t="n">
        <v>1288</v>
      </c>
      <c r="F18" s="22" t="n">
        <f aca="false">(D18-E18)*0.22</f>
        <v>420.64</v>
      </c>
      <c r="G18" s="22" t="n">
        <f aca="false">(D18-E18)-F18</f>
        <v>1491.36</v>
      </c>
      <c r="H18" s="41" t="n">
        <v>230</v>
      </c>
      <c r="I18" s="47" t="n">
        <f aca="false">H18/10</f>
        <v>23</v>
      </c>
      <c r="J18" s="48" t="n">
        <f aca="false">E18/H18*10</f>
        <v>56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customFormat="false" ht="69" hidden="false" customHeight="true" outlineLevel="0" collapsed="false">
      <c r="A19" s="23" t="str">
        <f aca="false">TEXT(B19,"ddd")</f>
        <v>må</v>
      </c>
      <c r="B19" s="24" t="n">
        <v>43591</v>
      </c>
      <c r="C19" s="25"/>
      <c r="D19" s="26"/>
      <c r="E19" s="26"/>
      <c r="F19" s="22" t="n">
        <f aca="false">(D19-E19)*0.22</f>
        <v>0</v>
      </c>
      <c r="G19" s="22" t="n">
        <f aca="false">(D19-E19)-F19</f>
        <v>0</v>
      </c>
      <c r="H19" s="41"/>
      <c r="I19" s="47" t="n">
        <f aca="false">H19/10</f>
        <v>0</v>
      </c>
      <c r="J19" s="4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customFormat="false" ht="69" hidden="false" customHeight="true" outlineLevel="0" collapsed="false">
      <c r="A20" s="23" t="str">
        <f aca="false">TEXT(B20,"ddd")</f>
        <v>ti</v>
      </c>
      <c r="B20" s="24" t="n">
        <v>43592</v>
      </c>
      <c r="C20" s="25"/>
      <c r="D20" s="26"/>
      <c r="E20" s="26"/>
      <c r="F20" s="22" t="n">
        <f aca="false">(D20-E20)*0.22</f>
        <v>0</v>
      </c>
      <c r="G20" s="22" t="n">
        <f aca="false">(D20-E20)-F20</f>
        <v>0</v>
      </c>
      <c r="H20" s="41"/>
      <c r="I20" s="47" t="n">
        <f aca="false">H20/10</f>
        <v>0</v>
      </c>
      <c r="J20" s="4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customFormat="false" ht="69" hidden="false" customHeight="true" outlineLevel="0" collapsed="false">
      <c r="A21" s="23" t="str">
        <f aca="false">TEXT(B21,"ddd")</f>
        <v>on</v>
      </c>
      <c r="B21" s="24" t="n">
        <v>43593</v>
      </c>
      <c r="C21" s="25"/>
      <c r="D21" s="26"/>
      <c r="E21" s="26"/>
      <c r="F21" s="22" t="n">
        <f aca="false">(D21-E21)*0.22</f>
        <v>0</v>
      </c>
      <c r="G21" s="22" t="n">
        <f aca="false">(D21-E21)-F21</f>
        <v>0</v>
      </c>
      <c r="H21" s="41"/>
      <c r="I21" s="47" t="n">
        <f aca="false">H21/10</f>
        <v>0</v>
      </c>
      <c r="J21" s="4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customFormat="false" ht="69" hidden="false" customHeight="true" outlineLevel="0" collapsed="false">
      <c r="A22" s="23" t="str">
        <f aca="false">TEXT(B22,"ddd")</f>
        <v>to</v>
      </c>
      <c r="B22" s="24" t="n">
        <v>43594</v>
      </c>
      <c r="C22" s="25"/>
      <c r="D22" s="26"/>
      <c r="E22" s="26"/>
      <c r="F22" s="22" t="n">
        <f aca="false">(D22-E22)*0.22</f>
        <v>0</v>
      </c>
      <c r="G22" s="22" t="n">
        <f aca="false">(D22-E22)-F22</f>
        <v>0</v>
      </c>
      <c r="H22" s="41"/>
      <c r="I22" s="47" t="n">
        <f aca="false">H22/10</f>
        <v>0</v>
      </c>
      <c r="J22" s="4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customFormat="false" ht="69" hidden="false" customHeight="true" outlineLevel="0" collapsed="false">
      <c r="A23" s="23" t="str">
        <f aca="false">TEXT(B23,"ddd")</f>
        <v>fr</v>
      </c>
      <c r="B23" s="24" t="n">
        <v>43595</v>
      </c>
      <c r="C23" s="25"/>
      <c r="D23" s="26"/>
      <c r="E23" s="26"/>
      <c r="F23" s="22" t="n">
        <f aca="false">(D23-E23)*0.22</f>
        <v>0</v>
      </c>
      <c r="G23" s="22" t="n">
        <f aca="false">(D23-E23)-F23</f>
        <v>0</v>
      </c>
      <c r="H23" s="41"/>
      <c r="I23" s="47" t="n">
        <f aca="false">H23/10</f>
        <v>0</v>
      </c>
      <c r="J23" s="4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customFormat="false" ht="69" hidden="false" customHeight="true" outlineLevel="0" collapsed="false">
      <c r="A24" s="23" t="str">
        <f aca="false">TEXT(B24,"ddd")</f>
        <v>lö</v>
      </c>
      <c r="B24" s="24" t="n">
        <v>43596</v>
      </c>
      <c r="C24" s="25" t="s">
        <v>84</v>
      </c>
      <c r="D24" s="26" t="n">
        <v>5000</v>
      </c>
      <c r="E24" s="26" t="n">
        <v>2300</v>
      </c>
      <c r="F24" s="22" t="n">
        <f aca="false">(D24-E24)*0.22</f>
        <v>594</v>
      </c>
      <c r="G24" s="22" t="n">
        <f aca="false">(D24-E24)-F24</f>
        <v>2106</v>
      </c>
      <c r="H24" s="41" t="n">
        <v>336</v>
      </c>
      <c r="I24" s="47" t="n">
        <f aca="false">H24/10</f>
        <v>33.6</v>
      </c>
      <c r="J24" s="48" t="n">
        <f aca="false">E24/H24*10</f>
        <v>68.452380952381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customFormat="false" ht="35.25" hidden="false" customHeight="true" outlineLevel="0" collapsed="false">
      <c r="A25" s="49"/>
      <c r="B25" s="50"/>
      <c r="C25" s="51" t="s">
        <v>80</v>
      </c>
      <c r="D25" s="52" t="n">
        <f aca="false">SUM(D18:D24)</f>
        <v>8200</v>
      </c>
      <c r="E25" s="52" t="n">
        <f aca="false">SUM(E18:E24)</f>
        <v>3588</v>
      </c>
      <c r="F25" s="53" t="n">
        <f aca="false">SUM(F18:F24)</f>
        <v>1014.64</v>
      </c>
      <c r="G25" s="54" t="n">
        <f aca="false">SUM(G18:G24)</f>
        <v>3597.36</v>
      </c>
      <c r="H25" s="55" t="n">
        <f aca="false">SUM(H18:H24)</f>
        <v>566</v>
      </c>
      <c r="I25" s="56" t="n">
        <f aca="false">H25/10</f>
        <v>56.6</v>
      </c>
      <c r="J25" s="57" t="n">
        <f aca="false">E25/H25*10</f>
        <v>63.3922261484099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customFormat="false" ht="69" hidden="false" customHeight="true" outlineLevel="0" collapsed="false">
      <c r="A26" s="23" t="str">
        <f aca="false">TEXT(B26,"ddd")</f>
        <v>sö</v>
      </c>
      <c r="B26" s="24" t="n">
        <v>43597</v>
      </c>
      <c r="C26" s="25" t="s">
        <v>85</v>
      </c>
      <c r="D26" s="26" t="n">
        <v>3000</v>
      </c>
      <c r="E26" s="26" t="n">
        <v>1000</v>
      </c>
      <c r="F26" s="22" t="n">
        <f aca="false">(D26-E26)*0.22</f>
        <v>440</v>
      </c>
      <c r="G26" s="22" t="n">
        <f aca="false">(D26-E26)-F26</f>
        <v>1560</v>
      </c>
      <c r="H26" s="41" t="n">
        <v>208</v>
      </c>
      <c r="I26" s="47" t="n">
        <f aca="false">H26/10</f>
        <v>20.8</v>
      </c>
      <c r="J26" s="48" t="n">
        <f aca="false">E26/H26*10</f>
        <v>48.0769230769231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customFormat="false" ht="69" hidden="false" customHeight="true" outlineLevel="0" collapsed="false">
      <c r="A27" s="23" t="str">
        <f aca="false">TEXT(B27,"ddd")</f>
        <v>må</v>
      </c>
      <c r="B27" s="24" t="n">
        <v>43598</v>
      </c>
      <c r="C27" s="25"/>
      <c r="D27" s="26"/>
      <c r="E27" s="26"/>
      <c r="F27" s="22" t="n">
        <f aca="false">(D27-E27)*0.22</f>
        <v>0</v>
      </c>
      <c r="G27" s="22" t="n">
        <f aca="false">(D27-E27)-F27</f>
        <v>0</v>
      </c>
      <c r="H27" s="41"/>
      <c r="I27" s="47" t="n">
        <f aca="false">H27/10</f>
        <v>0</v>
      </c>
      <c r="J27" s="4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customFormat="false" ht="69" hidden="false" customHeight="true" outlineLevel="0" collapsed="false">
      <c r="A28" s="23" t="str">
        <f aca="false">TEXT(B28,"ddd")</f>
        <v>ti</v>
      </c>
      <c r="B28" s="24" t="n">
        <v>43599</v>
      </c>
      <c r="C28" s="25"/>
      <c r="D28" s="26"/>
      <c r="E28" s="26"/>
      <c r="F28" s="22" t="n">
        <f aca="false">(D28-E28)*0.22</f>
        <v>0</v>
      </c>
      <c r="G28" s="22" t="n">
        <f aca="false">(D28-E28)-F28</f>
        <v>0</v>
      </c>
      <c r="H28" s="41"/>
      <c r="I28" s="47" t="n">
        <f aca="false">H28/10</f>
        <v>0</v>
      </c>
      <c r="J28" s="4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customFormat="false" ht="69" hidden="false" customHeight="true" outlineLevel="0" collapsed="false">
      <c r="A29" s="23" t="str">
        <f aca="false">TEXT(B29,"ddd")</f>
        <v>on</v>
      </c>
      <c r="B29" s="24" t="n">
        <v>43600</v>
      </c>
      <c r="C29" s="25"/>
      <c r="D29" s="26"/>
      <c r="E29" s="26"/>
      <c r="F29" s="22" t="n">
        <f aca="false">(D29-E29)*0.22</f>
        <v>0</v>
      </c>
      <c r="G29" s="22" t="n">
        <f aca="false">(D29-E29)-F29</f>
        <v>0</v>
      </c>
      <c r="H29" s="41"/>
      <c r="I29" s="47" t="n">
        <f aca="false">H29/10</f>
        <v>0</v>
      </c>
      <c r="J29" s="4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customFormat="false" ht="69" hidden="false" customHeight="true" outlineLevel="0" collapsed="false">
      <c r="A30" s="23" t="str">
        <f aca="false">TEXT(B30,"ddd")</f>
        <v>to</v>
      </c>
      <c r="B30" s="24" t="n">
        <v>43601</v>
      </c>
      <c r="C30" s="25"/>
      <c r="D30" s="26"/>
      <c r="E30" s="26"/>
      <c r="F30" s="22" t="n">
        <f aca="false">(D30-E30)*0.22</f>
        <v>0</v>
      </c>
      <c r="G30" s="22" t="n">
        <f aca="false">(D30-E30)-F30</f>
        <v>0</v>
      </c>
      <c r="H30" s="41"/>
      <c r="I30" s="47" t="n">
        <f aca="false">H30/10</f>
        <v>0</v>
      </c>
      <c r="J30" s="4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customFormat="false" ht="69" hidden="false" customHeight="true" outlineLevel="0" collapsed="false">
      <c r="A31" s="23" t="str">
        <f aca="false">TEXT(B31,"ddd")</f>
        <v>fr</v>
      </c>
      <c r="B31" s="24" t="n">
        <v>43602</v>
      </c>
      <c r="C31" s="25" t="s">
        <v>86</v>
      </c>
      <c r="D31" s="26" t="n">
        <v>5000</v>
      </c>
      <c r="E31" s="26" t="n">
        <v>2000</v>
      </c>
      <c r="F31" s="22" t="n">
        <f aca="false">(D31-E31)*0.22</f>
        <v>660</v>
      </c>
      <c r="G31" s="22" t="n">
        <f aca="false">(D31-E31)-F31</f>
        <v>2340</v>
      </c>
      <c r="H31" s="41" t="n">
        <v>300</v>
      </c>
      <c r="I31" s="47" t="n">
        <f aca="false">H31/10</f>
        <v>30</v>
      </c>
      <c r="J31" s="48" t="n">
        <f aca="false">E31/H31*10</f>
        <v>66.6666666666667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customFormat="false" ht="69" hidden="false" customHeight="true" outlineLevel="0" collapsed="false">
      <c r="A32" s="23" t="str">
        <f aca="false">TEXT(B32,"ddd")</f>
        <v>lö</v>
      </c>
      <c r="B32" s="24" t="n">
        <v>43603</v>
      </c>
      <c r="C32" s="25" t="s">
        <v>87</v>
      </c>
      <c r="D32" s="26" t="n">
        <v>4500</v>
      </c>
      <c r="E32" s="26" t="n">
        <v>2000</v>
      </c>
      <c r="F32" s="22" t="n">
        <f aca="false">(D32-E32)*0.22</f>
        <v>550</v>
      </c>
      <c r="G32" s="22" t="n">
        <f aca="false">(D32-E32)-F32</f>
        <v>1950</v>
      </c>
      <c r="H32" s="41" t="n">
        <v>265</v>
      </c>
      <c r="I32" s="47" t="n">
        <f aca="false">H32/10</f>
        <v>26.5</v>
      </c>
      <c r="J32" s="48" t="n">
        <f aca="false">E32/H32*10</f>
        <v>75.4716981132076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customFormat="false" ht="35.25" hidden="false" customHeight="true" outlineLevel="0" collapsed="false">
      <c r="A33" s="49"/>
      <c r="B33" s="50"/>
      <c r="C33" s="51" t="s">
        <v>80</v>
      </c>
      <c r="D33" s="52" t="n">
        <f aca="false">SUM(D26:D32)</f>
        <v>12500</v>
      </c>
      <c r="E33" s="52" t="n">
        <f aca="false">SUM(E26:E32)</f>
        <v>5000</v>
      </c>
      <c r="F33" s="53" t="n">
        <f aca="false">SUM(F26:F32)</f>
        <v>1650</v>
      </c>
      <c r="G33" s="54" t="n">
        <f aca="false">SUM(G26:G32)</f>
        <v>5850</v>
      </c>
      <c r="H33" s="55" t="n">
        <f aca="false">SUM(H26:H32)</f>
        <v>773</v>
      </c>
      <c r="I33" s="56" t="n">
        <f aca="false">H33/10</f>
        <v>77.3</v>
      </c>
      <c r="J33" s="57" t="n">
        <f aca="false">E33/H33*10</f>
        <v>64.6830530401035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customFormat="false" ht="69" hidden="false" customHeight="true" outlineLevel="0" collapsed="false">
      <c r="A34" s="23" t="str">
        <f aca="false">TEXT(B34,"ddd")</f>
        <v>sö</v>
      </c>
      <c r="B34" s="24" t="n">
        <v>43604</v>
      </c>
      <c r="C34" s="25" t="s">
        <v>88</v>
      </c>
      <c r="D34" s="26" t="n">
        <v>1100</v>
      </c>
      <c r="E34" s="26" t="n">
        <v>300</v>
      </c>
      <c r="F34" s="22" t="n">
        <f aca="false">(D34-E34)*0.22</f>
        <v>176</v>
      </c>
      <c r="G34" s="22" t="n">
        <f aca="false">(D34-E34)-F34</f>
        <v>624</v>
      </c>
      <c r="H34" s="41" t="n">
        <v>140</v>
      </c>
      <c r="I34" s="47" t="n">
        <f aca="false">H34/10</f>
        <v>14</v>
      </c>
      <c r="J34" s="59" t="n">
        <f aca="false">E34/H34*10</f>
        <v>21.4285714285714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customFormat="false" ht="69" hidden="false" customHeight="true" outlineLevel="0" collapsed="false">
      <c r="A35" s="23" t="str">
        <f aca="false">TEXT(B35,"ddd")</f>
        <v>må</v>
      </c>
      <c r="B35" s="24" t="n">
        <v>43605</v>
      </c>
      <c r="C35" s="25" t="s">
        <v>26</v>
      </c>
      <c r="D35" s="26"/>
      <c r="E35" s="26"/>
      <c r="F35" s="22" t="n">
        <f aca="false">(D35-E35)*0.22</f>
        <v>0</v>
      </c>
      <c r="G35" s="22" t="n">
        <f aca="false">(D35-E35)-F35</f>
        <v>0</v>
      </c>
      <c r="H35" s="41"/>
      <c r="I35" s="47" t="n">
        <f aca="false">H35/10</f>
        <v>0</v>
      </c>
      <c r="J35" s="59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customFormat="false" ht="69" hidden="false" customHeight="true" outlineLevel="0" collapsed="false">
      <c r="A36" s="23" t="str">
        <f aca="false">TEXT(B36,"ddd")</f>
        <v>ti</v>
      </c>
      <c r="B36" s="24" t="n">
        <v>43606</v>
      </c>
      <c r="C36" s="25" t="s">
        <v>26</v>
      </c>
      <c r="D36" s="26"/>
      <c r="E36" s="26"/>
      <c r="F36" s="22" t="n">
        <f aca="false">(D36-E36)*0.22</f>
        <v>0</v>
      </c>
      <c r="G36" s="22" t="n">
        <f aca="false">(D36-E36)-F36</f>
        <v>0</v>
      </c>
      <c r="H36" s="41"/>
      <c r="I36" s="47" t="n">
        <f aca="false">H36/10</f>
        <v>0</v>
      </c>
      <c r="J36" s="59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customFormat="false" ht="69" hidden="false" customHeight="true" outlineLevel="0" collapsed="false">
      <c r="A37" s="23" t="str">
        <f aca="false">TEXT(B37,"ddd")</f>
        <v>on</v>
      </c>
      <c r="B37" s="24" t="n">
        <v>43607</v>
      </c>
      <c r="C37" s="25" t="s">
        <v>89</v>
      </c>
      <c r="D37" s="26" t="n">
        <v>1700</v>
      </c>
      <c r="E37" s="26" t="n">
        <v>500</v>
      </c>
      <c r="F37" s="22" t="n">
        <f aca="false">(D37-E37)*0.22</f>
        <v>264</v>
      </c>
      <c r="G37" s="22" t="n">
        <f aca="false">(D37-E37)-F37</f>
        <v>936</v>
      </c>
      <c r="H37" s="41" t="n">
        <v>176</v>
      </c>
      <c r="I37" s="47" t="n">
        <f aca="false">H37/10</f>
        <v>17.6</v>
      </c>
      <c r="J37" s="59" t="n">
        <f aca="false">E37/H37*10</f>
        <v>28.4090909090909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customFormat="false" ht="69" hidden="false" customHeight="true" outlineLevel="0" collapsed="false">
      <c r="A38" s="23" t="str">
        <f aca="false">TEXT(B38,"ddd")</f>
        <v>to</v>
      </c>
      <c r="B38" s="24" t="n">
        <v>43608</v>
      </c>
      <c r="C38" s="25" t="s">
        <v>90</v>
      </c>
      <c r="D38" s="26" t="n">
        <v>3000</v>
      </c>
      <c r="E38" s="26" t="n">
        <v>1000</v>
      </c>
      <c r="F38" s="22" t="n">
        <f aca="false">(D38-E38)*0.22</f>
        <v>440</v>
      </c>
      <c r="G38" s="22" t="n">
        <f aca="false">(D38-E38)-F38</f>
        <v>1560</v>
      </c>
      <c r="H38" s="41" t="n">
        <v>168</v>
      </c>
      <c r="I38" s="47" t="n">
        <f aca="false">H38/10</f>
        <v>16.8</v>
      </c>
      <c r="J38" s="59" t="n">
        <f aca="false">E38/H38*10</f>
        <v>59.5238095238095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customFormat="false" ht="69" hidden="false" customHeight="true" outlineLevel="0" collapsed="false">
      <c r="A39" s="23" t="str">
        <f aca="false">TEXT(B39,"ddd")</f>
        <v>fr</v>
      </c>
      <c r="B39" s="24" t="n">
        <v>43609</v>
      </c>
      <c r="C39" s="25" t="s">
        <v>91</v>
      </c>
      <c r="D39" s="26" t="n">
        <v>4000</v>
      </c>
      <c r="E39" s="26" t="n">
        <v>1500</v>
      </c>
      <c r="F39" s="22" t="n">
        <f aca="false">(D39-E39)*0.22</f>
        <v>550</v>
      </c>
      <c r="G39" s="22" t="n">
        <f aca="false">(D39-E39)-F39</f>
        <v>1950</v>
      </c>
      <c r="H39" s="41" t="n">
        <v>220</v>
      </c>
      <c r="I39" s="47" t="n">
        <f aca="false">H39/10</f>
        <v>22</v>
      </c>
      <c r="J39" s="59" t="n">
        <f aca="false">E39/H39*10</f>
        <v>68.1818181818182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customFormat="false" ht="69" hidden="false" customHeight="true" outlineLevel="0" collapsed="false">
      <c r="A40" s="23" t="str">
        <f aca="false">TEXT(B40,"ddd")</f>
        <v>lö</v>
      </c>
      <c r="B40" s="24" t="n">
        <v>43610</v>
      </c>
      <c r="C40" s="25"/>
      <c r="D40" s="26"/>
      <c r="E40" s="26"/>
      <c r="F40" s="22" t="n">
        <f aca="false">(D40-E40)*0.22</f>
        <v>0</v>
      </c>
      <c r="G40" s="22" t="n">
        <f aca="false">(D40-E40)-F40</f>
        <v>0</v>
      </c>
      <c r="H40" s="41"/>
      <c r="I40" s="47" t="n">
        <f aca="false">H40/10</f>
        <v>0</v>
      </c>
      <c r="J40" s="59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customFormat="false" ht="35.25" hidden="false" customHeight="true" outlineLevel="0" collapsed="false">
      <c r="A41" s="49"/>
      <c r="B41" s="50"/>
      <c r="C41" s="51" t="s">
        <v>80</v>
      </c>
      <c r="D41" s="52" t="n">
        <f aca="false">SUM(D34:D40)</f>
        <v>9800</v>
      </c>
      <c r="E41" s="52" t="n">
        <f aca="false">SUM(E34:E40)</f>
        <v>3300</v>
      </c>
      <c r="F41" s="53" t="n">
        <f aca="false">SUM(F34:F40)</f>
        <v>1430</v>
      </c>
      <c r="G41" s="54" t="n">
        <f aca="false">SUM(G34:G40)</f>
        <v>5070</v>
      </c>
      <c r="H41" s="55" t="n">
        <f aca="false">SUM(H34:H40)</f>
        <v>704</v>
      </c>
      <c r="I41" s="56" t="n">
        <f aca="false">H41/10</f>
        <v>70.4</v>
      </c>
      <c r="J41" s="57" t="n">
        <f aca="false">E41/H41*10</f>
        <v>46.875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customFormat="false" ht="69" hidden="false" customHeight="true" outlineLevel="0" collapsed="false">
      <c r="A42" s="23" t="str">
        <f aca="false">TEXT(B42,"ddd")</f>
        <v>sö</v>
      </c>
      <c r="B42" s="24" t="n">
        <v>43611</v>
      </c>
      <c r="C42" s="25" t="s">
        <v>92</v>
      </c>
      <c r="D42" s="26" t="n">
        <v>3700</v>
      </c>
      <c r="E42" s="26" t="n">
        <v>1500</v>
      </c>
      <c r="F42" s="22" t="n">
        <f aca="false">(D42-E42)*0.22</f>
        <v>484</v>
      </c>
      <c r="G42" s="22" t="n">
        <f aca="false">(D42-E42)-F42</f>
        <v>1716</v>
      </c>
      <c r="H42" s="41" t="n">
        <v>212</v>
      </c>
      <c r="I42" s="47" t="n">
        <f aca="false">H42/10</f>
        <v>21.2</v>
      </c>
      <c r="J42" s="59" t="n">
        <f aca="false">E42/H42*10</f>
        <v>70.7547169811321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customFormat="false" ht="69" hidden="false" customHeight="true" outlineLevel="0" collapsed="false">
      <c r="A43" s="23" t="str">
        <f aca="false">TEXT(B43,"ddd")</f>
        <v>må</v>
      </c>
      <c r="B43" s="24" t="n">
        <v>43612</v>
      </c>
      <c r="C43" s="25" t="s">
        <v>93</v>
      </c>
      <c r="D43" s="26" t="n">
        <v>1900</v>
      </c>
      <c r="E43" s="26" t="n">
        <v>700</v>
      </c>
      <c r="F43" s="22" t="n">
        <f aca="false">(D43-E43)*0.22</f>
        <v>264</v>
      </c>
      <c r="G43" s="22" t="n">
        <f aca="false">(D43-E43)-F43</f>
        <v>936</v>
      </c>
      <c r="H43" s="41" t="n">
        <v>85</v>
      </c>
      <c r="I43" s="47" t="n">
        <f aca="false">H43/10</f>
        <v>8.5</v>
      </c>
      <c r="J43" s="59" t="n">
        <f aca="false">E43/H43*10</f>
        <v>82.3529411764706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customFormat="false" ht="69" hidden="false" customHeight="true" outlineLevel="0" collapsed="false">
      <c r="A44" s="23" t="str">
        <f aca="false">TEXT(B44,"ddd")</f>
        <v>ti</v>
      </c>
      <c r="B44" s="24" t="n">
        <v>43613</v>
      </c>
      <c r="C44" s="25" t="s">
        <v>94</v>
      </c>
      <c r="D44" s="26" t="n">
        <v>4000</v>
      </c>
      <c r="E44" s="26" t="n">
        <v>1500</v>
      </c>
      <c r="F44" s="22" t="n">
        <f aca="false">(D44-E44)*0.22</f>
        <v>550</v>
      </c>
      <c r="G44" s="22" t="n">
        <f aca="false">(D44-E44)-F44</f>
        <v>1950</v>
      </c>
      <c r="H44" s="41" t="n">
        <v>220</v>
      </c>
      <c r="I44" s="47" t="n">
        <f aca="false">H44/10</f>
        <v>22</v>
      </c>
      <c r="J44" s="59" t="n">
        <f aca="false">E44/H44*10</f>
        <v>68.1818181818182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customFormat="false" ht="69" hidden="false" customHeight="true" outlineLevel="0" collapsed="false">
      <c r="A45" s="23" t="str">
        <f aca="false">TEXT(B45,"ddd")</f>
        <v>on</v>
      </c>
      <c r="B45" s="24" t="n">
        <v>43614</v>
      </c>
      <c r="C45" s="25" t="s">
        <v>95</v>
      </c>
      <c r="D45" s="26" t="n">
        <v>600</v>
      </c>
      <c r="E45" s="26" t="n">
        <v>200</v>
      </c>
      <c r="F45" s="22" t="n">
        <f aca="false">(D45-E45)*0.22</f>
        <v>88</v>
      </c>
      <c r="G45" s="22" t="n">
        <f aca="false">(D45-E45)-F45</f>
        <v>312</v>
      </c>
      <c r="H45" s="41" t="n">
        <v>45</v>
      </c>
      <c r="I45" s="47" t="n">
        <f aca="false">H45/10</f>
        <v>4.5</v>
      </c>
      <c r="J45" s="59" t="n">
        <f aca="false">E45/H45*10</f>
        <v>44.4444444444444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customFormat="false" ht="69" hidden="false" customHeight="true" outlineLevel="0" collapsed="false">
      <c r="A46" s="23" t="str">
        <f aca="false">TEXT(B46,"ddd")</f>
        <v>to</v>
      </c>
      <c r="B46" s="24" t="n">
        <v>43615</v>
      </c>
      <c r="C46" s="25" t="s">
        <v>96</v>
      </c>
      <c r="D46" s="26" t="n">
        <v>3000</v>
      </c>
      <c r="E46" s="26" t="n">
        <v>1000</v>
      </c>
      <c r="F46" s="22" t="n">
        <f aca="false">(D46-E46)*0.22</f>
        <v>440</v>
      </c>
      <c r="G46" s="22" t="n">
        <f aca="false">(D46-E46)-F46</f>
        <v>1560</v>
      </c>
      <c r="H46" s="41" t="n">
        <v>208</v>
      </c>
      <c r="I46" s="47" t="n">
        <f aca="false">H46/10</f>
        <v>20.8</v>
      </c>
      <c r="J46" s="59" t="n">
        <f aca="false">E46/H46*10</f>
        <v>48.0769230769231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customFormat="false" ht="69" hidden="false" customHeight="true" outlineLevel="0" collapsed="false">
      <c r="A47" s="23" t="str">
        <f aca="false">TEXT(B47,"ddd")</f>
        <v>fr</v>
      </c>
      <c r="B47" s="24" t="n">
        <v>43616</v>
      </c>
      <c r="C47" s="25"/>
      <c r="D47" s="26"/>
      <c r="E47" s="26"/>
      <c r="F47" s="22" t="n">
        <f aca="false">(D47-E47)*0.22</f>
        <v>0</v>
      </c>
      <c r="G47" s="22" t="n">
        <f aca="false">(D47-E47)-F47</f>
        <v>0</v>
      </c>
      <c r="H47" s="41"/>
      <c r="I47" s="47" t="n">
        <f aca="false">H47/10</f>
        <v>0</v>
      </c>
      <c r="J47" s="4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customFormat="false" ht="69" hidden="false" customHeight="true" outlineLevel="0" collapsed="false">
      <c r="A48" s="23" t="str">
        <f aca="false">TEXT(B48,"ddd")</f>
        <v>lö</v>
      </c>
      <c r="B48" s="24" t="n">
        <v>43617</v>
      </c>
      <c r="C48" s="25"/>
      <c r="D48" s="26"/>
      <c r="E48" s="26"/>
      <c r="F48" s="22" t="n">
        <f aca="false">(D48-E48)*0.22</f>
        <v>0</v>
      </c>
      <c r="G48" s="22" t="n">
        <f aca="false">(D48-E48)-F48</f>
        <v>0</v>
      </c>
      <c r="H48" s="41"/>
      <c r="I48" s="47" t="n">
        <f aca="false">H48/10</f>
        <v>0</v>
      </c>
      <c r="J48" s="4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customFormat="false" ht="35.25" hidden="false" customHeight="true" outlineLevel="0" collapsed="false">
      <c r="A49" s="49"/>
      <c r="B49" s="50"/>
      <c r="C49" s="51" t="s">
        <v>80</v>
      </c>
      <c r="D49" s="52" t="n">
        <f aca="false">SUM(D42:D48)</f>
        <v>13200</v>
      </c>
      <c r="E49" s="52" t="n">
        <f aca="false">SUM(E42:E48)</f>
        <v>4900</v>
      </c>
      <c r="F49" s="53" t="n">
        <f aca="false">SUM(F42:F48)</f>
        <v>1826</v>
      </c>
      <c r="G49" s="54" t="n">
        <f aca="false">SUM(G42:G48)</f>
        <v>6474</v>
      </c>
      <c r="H49" s="55" t="n">
        <f aca="false">SUM(H42:H48)</f>
        <v>770</v>
      </c>
      <c r="I49" s="56" t="n">
        <f aca="false">H49/10</f>
        <v>77</v>
      </c>
      <c r="J49" s="57" t="n">
        <f aca="false">E49/H49*10</f>
        <v>63.6363636363636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customFormat="false" ht="69" hidden="false" customHeight="true" outlineLevel="0" collapsed="false">
      <c r="A50" s="23" t="str">
        <f aca="false">TEXT(B50,"ddd")</f>
        <v>sö</v>
      </c>
      <c r="B50" s="24" t="n">
        <v>43618</v>
      </c>
      <c r="C50" s="25" t="s">
        <v>97</v>
      </c>
      <c r="D50" s="26" t="n">
        <v>1000</v>
      </c>
      <c r="E50" s="26" t="n">
        <v>300</v>
      </c>
      <c r="F50" s="22" t="n">
        <f aca="false">(D50-E50)*0.22</f>
        <v>154</v>
      </c>
      <c r="G50" s="22" t="n">
        <f aca="false">(D50-E50)-F50</f>
        <v>546</v>
      </c>
      <c r="H50" s="41" t="n">
        <v>59</v>
      </c>
      <c r="I50" s="47" t="n">
        <f aca="false">H50/10</f>
        <v>5.9</v>
      </c>
      <c r="J50" s="59" t="n">
        <f aca="false">IF(H50=0,0,E50/H50*10)</f>
        <v>50.8474576271186</v>
      </c>
      <c r="K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customFormat="false" ht="69" hidden="false" customHeight="true" outlineLevel="0" collapsed="false">
      <c r="A51" s="23" t="str">
        <f aca="false">TEXT(B51,"ddd")</f>
        <v>må</v>
      </c>
      <c r="B51" s="24" t="n">
        <v>43619</v>
      </c>
      <c r="C51" s="25"/>
      <c r="D51" s="26"/>
      <c r="E51" s="26"/>
      <c r="F51" s="22" t="n">
        <f aca="false">(D51-E51)*0.22</f>
        <v>0</v>
      </c>
      <c r="G51" s="22" t="n">
        <f aca="false">(D51-E51)-F51</f>
        <v>0</v>
      </c>
      <c r="H51" s="41"/>
      <c r="I51" s="47" t="n">
        <f aca="false">H51/10</f>
        <v>0</v>
      </c>
      <c r="J51" s="59" t="n">
        <f aca="false">IF(H51=0,0,E51/H51*10)</f>
        <v>0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customFormat="false" ht="69" hidden="false" customHeight="true" outlineLevel="0" collapsed="false">
      <c r="A52" s="23" t="str">
        <f aca="false">TEXT(B52,"ddd")</f>
        <v>ti</v>
      </c>
      <c r="B52" s="24" t="n">
        <v>43620</v>
      </c>
      <c r="C52" s="25"/>
      <c r="D52" s="26"/>
      <c r="E52" s="26"/>
      <c r="F52" s="22" t="n">
        <f aca="false">(D52-E52)*0.22</f>
        <v>0</v>
      </c>
      <c r="G52" s="22" t="n">
        <f aca="false">(D52-E52)-F52</f>
        <v>0</v>
      </c>
      <c r="H52" s="41"/>
      <c r="I52" s="47" t="n">
        <f aca="false">H52/10</f>
        <v>0</v>
      </c>
      <c r="J52" s="59" t="n">
        <f aca="false">IF(H52=0,0,E52/H52*10)</f>
        <v>0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customFormat="false" ht="69" hidden="false" customHeight="true" outlineLevel="0" collapsed="false">
      <c r="A53" s="23" t="str">
        <f aca="false">TEXT(B53,"ddd")</f>
        <v>on</v>
      </c>
      <c r="B53" s="24" t="n">
        <v>43621</v>
      </c>
      <c r="C53" s="25" t="s">
        <v>98</v>
      </c>
      <c r="D53" s="26" t="n">
        <v>2000</v>
      </c>
      <c r="E53" s="26" t="n">
        <v>800</v>
      </c>
      <c r="F53" s="22" t="n">
        <f aca="false">(D53-E53)*0.22</f>
        <v>264</v>
      </c>
      <c r="G53" s="22" t="n">
        <f aca="false">(D53-E53)-F53</f>
        <v>936</v>
      </c>
      <c r="H53" s="41" t="n">
        <v>156</v>
      </c>
      <c r="I53" s="47" t="n">
        <f aca="false">H53/10</f>
        <v>15.6</v>
      </c>
      <c r="J53" s="59" t="n">
        <f aca="false">IF(H53=0,0,E53/H53*10)</f>
        <v>51.2820512820513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customFormat="false" ht="69" hidden="false" customHeight="true" outlineLevel="0" collapsed="false">
      <c r="A54" s="23" t="str">
        <f aca="false">TEXT(B54,"ddd")</f>
        <v>to</v>
      </c>
      <c r="B54" s="24" t="n">
        <v>43622</v>
      </c>
      <c r="C54" s="25" t="s">
        <v>99</v>
      </c>
      <c r="D54" s="26" t="n">
        <v>2000</v>
      </c>
      <c r="E54" s="26" t="n">
        <v>832</v>
      </c>
      <c r="F54" s="22" t="n">
        <f aca="false">(D54-E54)*0.22</f>
        <v>256.96</v>
      </c>
      <c r="G54" s="22" t="n">
        <f aca="false">(D54-E54)-F54</f>
        <v>911.04</v>
      </c>
      <c r="H54" s="41" t="n">
        <v>150</v>
      </c>
      <c r="I54" s="47" t="n">
        <f aca="false">H54/10</f>
        <v>15</v>
      </c>
      <c r="J54" s="59" t="n">
        <f aca="false">IF(H54=0,0,E54/H54*10)</f>
        <v>55.4666666666667</v>
      </c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customFormat="false" ht="69" hidden="false" customHeight="true" outlineLevel="0" collapsed="false">
      <c r="A55" s="23" t="str">
        <f aca="false">TEXT(B55,"ddd")</f>
        <v>fr</v>
      </c>
      <c r="B55" s="24" t="n">
        <v>43623</v>
      </c>
      <c r="C55" s="25" t="s">
        <v>100</v>
      </c>
      <c r="D55" s="26" t="n">
        <v>1800</v>
      </c>
      <c r="E55" s="26" t="n">
        <v>500</v>
      </c>
      <c r="F55" s="22" t="n">
        <f aca="false">(D55-E55)*0.22</f>
        <v>286</v>
      </c>
      <c r="G55" s="22" t="n">
        <f aca="false">(D55-E55)-F55</f>
        <v>1014</v>
      </c>
      <c r="H55" s="41" t="n">
        <v>52</v>
      </c>
      <c r="I55" s="47" t="n">
        <f aca="false">H55/10</f>
        <v>5.2</v>
      </c>
      <c r="J55" s="59" t="n">
        <f aca="false">IF(H55=0,0,E55/H55*10)</f>
        <v>96.1538461538462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customFormat="false" ht="69" hidden="false" customHeight="true" outlineLevel="0" collapsed="false">
      <c r="A56" s="23" t="str">
        <f aca="false">TEXT(B56,"ddd")</f>
        <v>lö</v>
      </c>
      <c r="B56" s="24" t="n">
        <v>43624</v>
      </c>
      <c r="C56" s="25" t="s">
        <v>101</v>
      </c>
      <c r="D56" s="26" t="n">
        <v>3000</v>
      </c>
      <c r="E56" s="26" t="n">
        <v>1000</v>
      </c>
      <c r="F56" s="22" t="n">
        <f aca="false">(D56-E56)*0.22</f>
        <v>440</v>
      </c>
      <c r="G56" s="22" t="n">
        <f aca="false">(D56-E56)-F56</f>
        <v>1560</v>
      </c>
      <c r="H56" s="41" t="n">
        <v>196</v>
      </c>
      <c r="I56" s="47" t="n">
        <f aca="false">H56/10</f>
        <v>19.6</v>
      </c>
      <c r="J56" s="59" t="n">
        <f aca="false">IF(H56=0,0,E56/H56*10)</f>
        <v>51.0204081632653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customFormat="false" ht="35.25" hidden="false" customHeight="true" outlineLevel="0" collapsed="false">
      <c r="A57" s="49"/>
      <c r="B57" s="50"/>
      <c r="C57" s="51" t="s">
        <v>80</v>
      </c>
      <c r="D57" s="52" t="n">
        <f aca="false">SUM(D50:D56)</f>
        <v>9800</v>
      </c>
      <c r="E57" s="52" t="n">
        <f aca="false">SUM(E50:E56)</f>
        <v>3432</v>
      </c>
      <c r="F57" s="53" t="n">
        <f aca="false">SUM(F50:F56)</f>
        <v>1400.96</v>
      </c>
      <c r="G57" s="54" t="n">
        <f aca="false">SUM(G50:G56)</f>
        <v>4967.04</v>
      </c>
      <c r="H57" s="55" t="n">
        <f aca="false">SUM(H50:H56)</f>
        <v>613</v>
      </c>
      <c r="I57" s="56" t="n">
        <f aca="false">H57/10</f>
        <v>61.3</v>
      </c>
      <c r="J57" s="57" t="n">
        <f aca="false">IF(H57=0,0,E57/H57*10)</f>
        <v>55.9869494290375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customFormat="false" ht="69" hidden="false" customHeight="true" outlineLevel="0" collapsed="false">
      <c r="A58" s="23" t="str">
        <f aca="false">TEXT(B58,"ddd")</f>
        <v>sö</v>
      </c>
      <c r="B58" s="24" t="n">
        <v>43625</v>
      </c>
      <c r="C58" s="25" t="s">
        <v>102</v>
      </c>
      <c r="D58" s="26" t="n">
        <v>2500</v>
      </c>
      <c r="E58" s="26" t="n">
        <v>800</v>
      </c>
      <c r="F58" s="22" t="n">
        <f aca="false">(D58-E58)*0.22</f>
        <v>374</v>
      </c>
      <c r="G58" s="22" t="n">
        <f aca="false">(D58-E58)-F58</f>
        <v>1326</v>
      </c>
      <c r="H58" s="41" t="n">
        <v>165</v>
      </c>
      <c r="I58" s="47" t="n">
        <f aca="false">H58/10</f>
        <v>16.5</v>
      </c>
      <c r="J58" s="59" t="n">
        <f aca="false">IF(H58=0,0,E58/H58*10)</f>
        <v>48.4848484848485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customFormat="false" ht="69" hidden="false" customHeight="true" outlineLevel="0" collapsed="false">
      <c r="A59" s="23" t="str">
        <f aca="false">TEXT(B59,"ddd")</f>
        <v>må</v>
      </c>
      <c r="B59" s="24" t="n">
        <v>43626</v>
      </c>
      <c r="C59" s="25" t="s">
        <v>103</v>
      </c>
      <c r="D59" s="26"/>
      <c r="E59" s="26"/>
      <c r="F59" s="22" t="n">
        <f aca="false">(D59-E59)*0.22</f>
        <v>0</v>
      </c>
      <c r="G59" s="22" t="n">
        <f aca="false">(D59-E59)-F59</f>
        <v>0</v>
      </c>
      <c r="H59" s="41" t="n">
        <v>86</v>
      </c>
      <c r="I59" s="47" t="n">
        <f aca="false">H59/10</f>
        <v>8.6</v>
      </c>
      <c r="J59" s="60" t="n">
        <f aca="false">IF(H59=0,0,E59/H59*10)</f>
        <v>0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customFormat="false" ht="69" hidden="false" customHeight="true" outlineLevel="0" collapsed="false">
      <c r="A60" s="23" t="str">
        <f aca="false">TEXT(B60,"ddd")</f>
        <v>ti</v>
      </c>
      <c r="B60" s="24" t="n">
        <v>43627</v>
      </c>
      <c r="C60" s="25"/>
      <c r="D60" s="26"/>
      <c r="E60" s="26"/>
      <c r="F60" s="22" t="n">
        <f aca="false">(D60-E60)*0.22</f>
        <v>0</v>
      </c>
      <c r="G60" s="22" t="n">
        <f aca="false">(D60-E60)-F60</f>
        <v>0</v>
      </c>
      <c r="H60" s="41"/>
      <c r="I60" s="47" t="n">
        <f aca="false">H60/10</f>
        <v>0</v>
      </c>
      <c r="J60" s="60" t="n">
        <f aca="false">IF(H60=0,0,E60/H60*10)</f>
        <v>0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customFormat="false" ht="69" hidden="false" customHeight="true" outlineLevel="0" collapsed="false">
      <c r="A61" s="23" t="str">
        <f aca="false">TEXT(B61,"ddd")</f>
        <v>on</v>
      </c>
      <c r="B61" s="24" t="n">
        <v>43628</v>
      </c>
      <c r="C61" s="25"/>
      <c r="D61" s="26"/>
      <c r="E61" s="26"/>
      <c r="F61" s="22" t="n">
        <f aca="false">(D61-E61)*0.22</f>
        <v>0</v>
      </c>
      <c r="G61" s="22" t="n">
        <f aca="false">(D61-E61)-F61</f>
        <v>0</v>
      </c>
      <c r="H61" s="41"/>
      <c r="I61" s="47" t="n">
        <f aca="false">H61/10</f>
        <v>0</v>
      </c>
      <c r="J61" s="60" t="n">
        <f aca="false">IF(H61=0,0,E61/H61*10)</f>
        <v>0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customFormat="false" ht="69" hidden="false" customHeight="true" outlineLevel="0" collapsed="false">
      <c r="A62" s="23" t="str">
        <f aca="false">TEXT(B62,"ddd")</f>
        <v>to</v>
      </c>
      <c r="B62" s="24" t="n">
        <v>43629</v>
      </c>
      <c r="C62" s="25"/>
      <c r="D62" s="26"/>
      <c r="E62" s="26"/>
      <c r="F62" s="22" t="n">
        <f aca="false">(D62-E62)*0.22</f>
        <v>0</v>
      </c>
      <c r="G62" s="22" t="n">
        <f aca="false">(D62-E62)-F62</f>
        <v>0</v>
      </c>
      <c r="H62" s="41"/>
      <c r="I62" s="47" t="n">
        <f aca="false">H62/10</f>
        <v>0</v>
      </c>
      <c r="J62" s="60" t="n">
        <f aca="false">IF(H62=0,0,E62/H62*10)</f>
        <v>0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customFormat="false" ht="69" hidden="false" customHeight="true" outlineLevel="0" collapsed="false">
      <c r="A63" s="23" t="str">
        <f aca="false">TEXT(B63,"ddd")</f>
        <v>fr</v>
      </c>
      <c r="B63" s="24" t="n">
        <v>43630</v>
      </c>
      <c r="C63" s="25"/>
      <c r="D63" s="26"/>
      <c r="E63" s="26"/>
      <c r="F63" s="22" t="n">
        <f aca="false">(D63-E63)*0.22</f>
        <v>0</v>
      </c>
      <c r="G63" s="22" t="n">
        <f aca="false">(D63-E63)-F63</f>
        <v>0</v>
      </c>
      <c r="H63" s="41"/>
      <c r="I63" s="47" t="n">
        <f aca="false">H63/10</f>
        <v>0</v>
      </c>
      <c r="J63" s="60" t="n">
        <f aca="false">IF(H63=0,0,E63/H63*10)</f>
        <v>0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customFormat="false" ht="69" hidden="false" customHeight="true" outlineLevel="0" collapsed="false">
      <c r="A64" s="23" t="str">
        <f aca="false">TEXT(B64,"ddd")</f>
        <v>lö</v>
      </c>
      <c r="B64" s="24" t="n">
        <v>43631</v>
      </c>
      <c r="C64" s="25"/>
      <c r="D64" s="26"/>
      <c r="E64" s="26"/>
      <c r="F64" s="22" t="n">
        <f aca="false">(D64-E64)*0.22</f>
        <v>0</v>
      </c>
      <c r="G64" s="22" t="n">
        <f aca="false">(D64-E64)-F64</f>
        <v>0</v>
      </c>
      <c r="H64" s="41"/>
      <c r="I64" s="47" t="n">
        <f aca="false">H64/10</f>
        <v>0</v>
      </c>
      <c r="J64" s="60" t="n">
        <f aca="false">IF(H64=0,0,E64/H64*10)</f>
        <v>0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customFormat="false" ht="35.25" hidden="false" customHeight="true" outlineLevel="0" collapsed="false">
      <c r="A65" s="49"/>
      <c r="B65" s="50"/>
      <c r="C65" s="51" t="s">
        <v>80</v>
      </c>
      <c r="D65" s="52" t="n">
        <f aca="false">SUM(D58:D64)</f>
        <v>2500</v>
      </c>
      <c r="E65" s="52" t="n">
        <f aca="false">SUM(E58:E64)</f>
        <v>800</v>
      </c>
      <c r="F65" s="53" t="n">
        <f aca="false">SUM(F58:F64)</f>
        <v>374</v>
      </c>
      <c r="G65" s="54" t="n">
        <f aca="false">SUM(G58:G64)</f>
        <v>1326</v>
      </c>
      <c r="H65" s="55" t="n">
        <f aca="false">SUM(H58:H64)</f>
        <v>251</v>
      </c>
      <c r="I65" s="56" t="n">
        <f aca="false">H65/10</f>
        <v>25.1</v>
      </c>
      <c r="J65" s="57" t="n">
        <f aca="false">IF(H65=0,0,E65/H65*10)-H59</f>
        <v>-54.1274900398406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customFormat="false" ht="69" hidden="false" customHeight="true" outlineLevel="0" collapsed="false">
      <c r="A66" s="23" t="str">
        <f aca="false">TEXT(B66,"ddd")</f>
        <v>sö</v>
      </c>
      <c r="B66" s="24" t="n">
        <v>43632</v>
      </c>
      <c r="C66" s="25" t="s">
        <v>104</v>
      </c>
      <c r="D66" s="26" t="n">
        <v>2000</v>
      </c>
      <c r="E66" s="26" t="n">
        <v>1000</v>
      </c>
      <c r="F66" s="22" t="n">
        <f aca="false">(D66-E66)*0.22</f>
        <v>220</v>
      </c>
      <c r="G66" s="22" t="n">
        <f aca="false">(D66-E66)-F66</f>
        <v>780</v>
      </c>
      <c r="H66" s="41" t="n">
        <v>180</v>
      </c>
      <c r="I66" s="47" t="n">
        <f aca="false">H66/10</f>
        <v>18</v>
      </c>
      <c r="J66" s="60" t="n">
        <f aca="false">IF(H66=0,0,E66/H66*10)</f>
        <v>55.5555555555556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customFormat="false" ht="69" hidden="false" customHeight="true" outlineLevel="0" collapsed="false">
      <c r="A67" s="23" t="str">
        <f aca="false">TEXT(B67,"ddd")</f>
        <v>må</v>
      </c>
      <c r="B67" s="24" t="n">
        <v>43633</v>
      </c>
      <c r="C67" s="25" t="s">
        <v>105</v>
      </c>
      <c r="D67" s="26"/>
      <c r="E67" s="26"/>
      <c r="F67" s="22" t="n">
        <f aca="false">(D67-E67)*0.22</f>
        <v>0</v>
      </c>
      <c r="G67" s="22" t="n">
        <f aca="false">(D67-E67)-F67</f>
        <v>0</v>
      </c>
      <c r="H67" s="41"/>
      <c r="I67" s="47" t="n">
        <f aca="false">H67/10</f>
        <v>0</v>
      </c>
      <c r="J67" s="60" t="n">
        <f aca="false">IF(H67=0,0,E67/H67*10)</f>
        <v>0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customFormat="false" ht="69" hidden="false" customHeight="true" outlineLevel="0" collapsed="false">
      <c r="A68" s="23" t="str">
        <f aca="false">TEXT(B68,"ddd")</f>
        <v>ti</v>
      </c>
      <c r="B68" s="24" t="n">
        <v>43634</v>
      </c>
      <c r="C68" s="25" t="s">
        <v>106</v>
      </c>
      <c r="D68" s="26"/>
      <c r="E68" s="26"/>
      <c r="F68" s="22" t="n">
        <f aca="false">(D68-E68)*0.22</f>
        <v>0</v>
      </c>
      <c r="G68" s="22" t="n">
        <f aca="false">(D68-E68)-F68</f>
        <v>0</v>
      </c>
      <c r="H68" s="41"/>
      <c r="I68" s="47" t="n">
        <f aca="false">H68/10</f>
        <v>0</v>
      </c>
      <c r="J68" s="60" t="n">
        <f aca="false">IF(H68=0,0,E68/H68*10)</f>
        <v>0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customFormat="false" ht="69" hidden="false" customHeight="true" outlineLevel="0" collapsed="false">
      <c r="A69" s="23" t="str">
        <f aca="false">TEXT(B69,"ddd")</f>
        <v>on</v>
      </c>
      <c r="B69" s="24" t="n">
        <v>43635</v>
      </c>
      <c r="C69" s="25" t="s">
        <v>107</v>
      </c>
      <c r="D69" s="26" t="n">
        <v>5000</v>
      </c>
      <c r="E69" s="26" t="n">
        <v>2200</v>
      </c>
      <c r="F69" s="22" t="n">
        <f aca="false">(D69-E69)*0.22</f>
        <v>616</v>
      </c>
      <c r="G69" s="22" t="n">
        <f aca="false">(D69-E69)-F69</f>
        <v>2184</v>
      </c>
      <c r="H69" s="41" t="n">
        <v>380</v>
      </c>
      <c r="I69" s="47" t="n">
        <f aca="false">H69/10</f>
        <v>38</v>
      </c>
      <c r="J69" s="60" t="n">
        <f aca="false">IF(H69=0,0,E69/H69*10)</f>
        <v>57.8947368421053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customFormat="false" ht="69" hidden="false" customHeight="true" outlineLevel="0" collapsed="false">
      <c r="A70" s="23" t="str">
        <f aca="false">TEXT(B70,"ddd")</f>
        <v>to</v>
      </c>
      <c r="B70" s="24" t="n">
        <v>43636</v>
      </c>
      <c r="C70" s="25" t="s">
        <v>26</v>
      </c>
      <c r="D70" s="26"/>
      <c r="E70" s="26"/>
      <c r="F70" s="22" t="n">
        <f aca="false">(D70-E70)*0.22</f>
        <v>0</v>
      </c>
      <c r="G70" s="22" t="n">
        <f aca="false">(D70-E70)-F70</f>
        <v>0</v>
      </c>
      <c r="H70" s="41"/>
      <c r="I70" s="47" t="n">
        <f aca="false">H70/10</f>
        <v>0</v>
      </c>
      <c r="J70" s="60" t="n">
        <f aca="false">IF(H70=0,0,E70/H70*10)</f>
        <v>0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customFormat="false" ht="69" hidden="false" customHeight="true" outlineLevel="0" collapsed="false">
      <c r="A71" s="23" t="str">
        <f aca="false">TEXT(B71,"ddd")</f>
        <v>fr</v>
      </c>
      <c r="B71" s="24" t="n">
        <v>43637</v>
      </c>
      <c r="C71" s="25" t="s">
        <v>26</v>
      </c>
      <c r="D71" s="26"/>
      <c r="E71" s="26"/>
      <c r="F71" s="22" t="n">
        <f aca="false">(D71-E71)*0.22</f>
        <v>0</v>
      </c>
      <c r="G71" s="22" t="n">
        <f aca="false">(D71-E71)-F71</f>
        <v>0</v>
      </c>
      <c r="H71" s="41"/>
      <c r="I71" s="47" t="n">
        <f aca="false">H71/10</f>
        <v>0</v>
      </c>
      <c r="J71" s="60" t="n">
        <f aca="false">IF(H71=0,0,E71/H71*10)</f>
        <v>0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customFormat="false" ht="69" hidden="false" customHeight="true" outlineLevel="0" collapsed="false">
      <c r="A72" s="23" t="str">
        <f aca="false">TEXT(B72,"ddd")</f>
        <v>lö</v>
      </c>
      <c r="B72" s="24" t="n">
        <v>43638</v>
      </c>
      <c r="C72" s="25" t="s">
        <v>108</v>
      </c>
      <c r="D72" s="26" t="n">
        <v>3000</v>
      </c>
      <c r="E72" s="26" t="n">
        <v>1000</v>
      </c>
      <c r="F72" s="22" t="n">
        <f aca="false">(D72-E72)*0.22</f>
        <v>440</v>
      </c>
      <c r="G72" s="22" t="n">
        <f aca="false">(D72-E72)-F72</f>
        <v>1560</v>
      </c>
      <c r="H72" s="41" t="n">
        <v>228</v>
      </c>
      <c r="I72" s="47" t="n">
        <f aca="false">H72/10</f>
        <v>22.8</v>
      </c>
      <c r="J72" s="60" t="n">
        <f aca="false">IF(H72=0,0,E72/H72*10)</f>
        <v>43.859649122807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customFormat="false" ht="35.25" hidden="false" customHeight="true" outlineLevel="0" collapsed="false">
      <c r="A73" s="49"/>
      <c r="B73" s="50"/>
      <c r="C73" s="51" t="s">
        <v>80</v>
      </c>
      <c r="D73" s="52" t="n">
        <f aca="false">SUM(D66:D72)</f>
        <v>10000</v>
      </c>
      <c r="E73" s="52" t="n">
        <f aca="false">SUM(E66:E72)</f>
        <v>4200</v>
      </c>
      <c r="F73" s="53" t="n">
        <f aca="false">SUM(F66:F72)</f>
        <v>1276</v>
      </c>
      <c r="G73" s="54" t="n">
        <f aca="false">SUM(G66:G72)</f>
        <v>4524</v>
      </c>
      <c r="H73" s="55" t="n">
        <f aca="false">SUM(H66:H72)</f>
        <v>788</v>
      </c>
      <c r="I73" s="56" t="n">
        <f aca="false">H73/10</f>
        <v>78.8</v>
      </c>
      <c r="J73" s="57" t="n">
        <f aca="false">IF(H73=0,0,E73/H73*10)</f>
        <v>53.2994923857868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customFormat="false" ht="69" hidden="false" customHeight="true" outlineLevel="0" collapsed="false">
      <c r="A74" s="23" t="str">
        <f aca="false">TEXT(B74,"ddd")</f>
        <v>sö</v>
      </c>
      <c r="B74" s="24" t="n">
        <v>43639</v>
      </c>
      <c r="C74" s="25" t="s">
        <v>109</v>
      </c>
      <c r="D74" s="26"/>
      <c r="E74" s="26"/>
      <c r="F74" s="22"/>
      <c r="H74" s="41"/>
      <c r="I74" s="47" t="n">
        <f aca="false">H74/10</f>
        <v>0</v>
      </c>
      <c r="J74" s="60" t="n">
        <f aca="false">IF(H74=0,0,E74/H74*10)</f>
        <v>0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customFormat="false" ht="69" hidden="false" customHeight="true" outlineLevel="0" collapsed="false">
      <c r="A75" s="23" t="str">
        <f aca="false">TEXT(B75,"ddd")</f>
        <v>må</v>
      </c>
      <c r="B75" s="24" t="n">
        <v>43640</v>
      </c>
      <c r="C75" s="25" t="s">
        <v>110</v>
      </c>
      <c r="D75" s="26"/>
      <c r="E75" s="26"/>
      <c r="F75" s="22"/>
      <c r="H75" s="41"/>
      <c r="I75" s="47" t="n">
        <f aca="false">H75/10</f>
        <v>0</v>
      </c>
      <c r="J75" s="60" t="n">
        <f aca="false">IF(H75=0,0,E75/H75*10)</f>
        <v>0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customFormat="false" ht="69" hidden="false" customHeight="true" outlineLevel="0" collapsed="false">
      <c r="A76" s="23" t="str">
        <f aca="false">TEXT(B76,"ddd")</f>
        <v>ti</v>
      </c>
      <c r="B76" s="24" t="n">
        <v>43641</v>
      </c>
      <c r="C76" s="25" t="s">
        <v>109</v>
      </c>
      <c r="D76" s="26"/>
      <c r="E76" s="26"/>
      <c r="F76" s="22"/>
      <c r="H76" s="41"/>
      <c r="I76" s="47" t="n">
        <f aca="false">H76/10</f>
        <v>0</v>
      </c>
      <c r="J76" s="60" t="n">
        <f aca="false">IF(H76=0,0,E76/H76*10)</f>
        <v>0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customFormat="false" ht="69" hidden="false" customHeight="true" outlineLevel="0" collapsed="false">
      <c r="A77" s="23" t="str">
        <f aca="false">TEXT(B77,"ddd")</f>
        <v>on</v>
      </c>
      <c r="B77" s="24" t="n">
        <v>43642</v>
      </c>
      <c r="C77" s="25" t="s">
        <v>109</v>
      </c>
      <c r="D77" s="26"/>
      <c r="E77" s="26"/>
      <c r="F77" s="22"/>
      <c r="H77" s="41"/>
      <c r="I77" s="47" t="n">
        <f aca="false">H77/10</f>
        <v>0</v>
      </c>
      <c r="J77" s="60" t="n">
        <f aca="false">IF(H77=0,0,E77/H77*10)</f>
        <v>0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customFormat="false" ht="69" hidden="false" customHeight="true" outlineLevel="0" collapsed="false">
      <c r="A78" s="23" t="str">
        <f aca="false">TEXT(B78,"ddd")</f>
        <v>to</v>
      </c>
      <c r="B78" s="24" t="n">
        <v>43643</v>
      </c>
      <c r="C78" s="25" t="s">
        <v>109</v>
      </c>
      <c r="D78" s="26"/>
      <c r="E78" s="26"/>
      <c r="F78" s="22"/>
      <c r="H78" s="41"/>
      <c r="I78" s="47" t="n">
        <f aca="false">H78/10</f>
        <v>0</v>
      </c>
      <c r="J78" s="60" t="n">
        <f aca="false">IF(H78=0,0,E78/H78*10)</f>
        <v>0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customFormat="false" ht="69" hidden="false" customHeight="true" outlineLevel="0" collapsed="false">
      <c r="A79" s="23" t="str">
        <f aca="false">TEXT(B79,"ddd")</f>
        <v>fr</v>
      </c>
      <c r="B79" s="24" t="n">
        <v>43644</v>
      </c>
      <c r="C79" s="25" t="s">
        <v>109</v>
      </c>
      <c r="D79" s="26"/>
      <c r="E79" s="26"/>
      <c r="F79" s="22"/>
      <c r="H79" s="41"/>
      <c r="I79" s="47" t="n">
        <f aca="false">H79/10</f>
        <v>0</v>
      </c>
      <c r="J79" s="60" t="n">
        <f aca="false">IF(H79=0,0,E79/H79*10)</f>
        <v>0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customFormat="false" ht="69" hidden="false" customHeight="true" outlineLevel="0" collapsed="false">
      <c r="A80" s="23" t="str">
        <f aca="false">TEXT(B80,"ddd")</f>
        <v>lö</v>
      </c>
      <c r="B80" s="24" t="n">
        <v>43645</v>
      </c>
      <c r="C80" s="25" t="s">
        <v>109</v>
      </c>
      <c r="D80" s="26"/>
      <c r="E80" s="26"/>
      <c r="F80" s="22"/>
      <c r="H80" s="41"/>
      <c r="I80" s="47" t="n">
        <f aca="false">H80/10</f>
        <v>0</v>
      </c>
      <c r="J80" s="60" t="n">
        <f aca="false">IF(H80=0,0,E80/H80*10)</f>
        <v>0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customFormat="false" ht="35.25" hidden="false" customHeight="true" outlineLevel="0" collapsed="false">
      <c r="A81" s="49"/>
      <c r="B81" s="50"/>
      <c r="C81" s="51" t="s">
        <v>80</v>
      </c>
      <c r="D81" s="52" t="n">
        <f aca="false">SUM(D74:D80)</f>
        <v>0</v>
      </c>
      <c r="E81" s="52" t="n">
        <f aca="false">SUM(E74:E80)</f>
        <v>0</v>
      </c>
      <c r="F81" s="53" t="n">
        <f aca="false">SUM(F74:F80)</f>
        <v>0</v>
      </c>
      <c r="G81" s="54" t="n">
        <f aca="false">SUM(G74:G80)</f>
        <v>0</v>
      </c>
      <c r="H81" s="55" t="n">
        <f aca="false">SUM(H74:H80)</f>
        <v>0</v>
      </c>
      <c r="I81" s="56" t="n">
        <f aca="false">H81/10</f>
        <v>0</v>
      </c>
      <c r="J81" s="57" t="n">
        <f aca="false">IF(H81=0,0,E81/H81*10)</f>
        <v>0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customFormat="false" ht="69" hidden="false" customHeight="true" outlineLevel="0" collapsed="false">
      <c r="A82" s="23" t="str">
        <f aca="false">TEXT(B82,"ddd")</f>
        <v>sö</v>
      </c>
      <c r="B82" s="24" t="n">
        <v>43646</v>
      </c>
      <c r="C82" s="25" t="s">
        <v>109</v>
      </c>
      <c r="D82" s="26"/>
      <c r="E82" s="26"/>
      <c r="F82" s="22"/>
      <c r="H82" s="41"/>
      <c r="I82" s="47" t="n">
        <f aca="false">H82/10</f>
        <v>0</v>
      </c>
      <c r="J82" s="60" t="n">
        <f aca="false">IF(H82=0,0,E82/H82*10)</f>
        <v>0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customFormat="false" ht="69" hidden="false" customHeight="true" outlineLevel="0" collapsed="false">
      <c r="A83" s="23" t="str">
        <f aca="false">TEXT(B83,"ddd")</f>
        <v>må</v>
      </c>
      <c r="B83" s="24" t="n">
        <v>43647</v>
      </c>
      <c r="C83" s="25" t="s">
        <v>111</v>
      </c>
      <c r="D83" s="26"/>
      <c r="E83" s="26"/>
      <c r="F83" s="22"/>
      <c r="H83" s="41"/>
      <c r="I83" s="47" t="n">
        <f aca="false">H83/10</f>
        <v>0</v>
      </c>
      <c r="J83" s="60" t="n">
        <f aca="false">IF(H83=0,0,E83/H83*10)</f>
        <v>0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customFormat="false" ht="69" hidden="false" customHeight="true" outlineLevel="0" collapsed="false">
      <c r="A84" s="23" t="str">
        <f aca="false">TEXT(B84,"ddd")</f>
        <v>ti</v>
      </c>
      <c r="B84" s="24" t="n">
        <v>43648</v>
      </c>
      <c r="C84" s="25" t="s">
        <v>109</v>
      </c>
      <c r="D84" s="26"/>
      <c r="E84" s="26"/>
      <c r="F84" s="22"/>
      <c r="H84" s="41"/>
      <c r="I84" s="47" t="n">
        <f aca="false">H84/10</f>
        <v>0</v>
      </c>
      <c r="J84" s="60" t="n">
        <f aca="false">IF(H84=0,0,E84/H84*10)</f>
        <v>0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customFormat="false" ht="69" hidden="false" customHeight="true" outlineLevel="0" collapsed="false">
      <c r="A85" s="23" t="str">
        <f aca="false">TEXT(B85,"ddd")</f>
        <v>on</v>
      </c>
      <c r="B85" s="24" t="n">
        <v>43649</v>
      </c>
      <c r="C85" s="25" t="s">
        <v>109</v>
      </c>
      <c r="D85" s="26"/>
      <c r="E85" s="26"/>
      <c r="F85" s="22"/>
      <c r="H85" s="41"/>
      <c r="I85" s="47" t="n">
        <f aca="false">H85/10</f>
        <v>0</v>
      </c>
      <c r="J85" s="60" t="n">
        <f aca="false">IF(H85=0,0,E85/H85*10)</f>
        <v>0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customFormat="false" ht="69" hidden="false" customHeight="true" outlineLevel="0" collapsed="false">
      <c r="A86" s="23" t="str">
        <f aca="false">TEXT(B86,"ddd")</f>
        <v>to</v>
      </c>
      <c r="B86" s="24" t="n">
        <v>43650</v>
      </c>
      <c r="C86" s="25" t="s">
        <v>109</v>
      </c>
      <c r="D86" s="26"/>
      <c r="E86" s="26"/>
      <c r="F86" s="22"/>
      <c r="H86" s="41"/>
      <c r="I86" s="47" t="n">
        <f aca="false">H86/10</f>
        <v>0</v>
      </c>
      <c r="J86" s="60" t="n">
        <f aca="false">IF(H86=0,0,E86/H86*10)</f>
        <v>0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customFormat="false" ht="69" hidden="false" customHeight="true" outlineLevel="0" collapsed="false">
      <c r="A87" s="23" t="str">
        <f aca="false">TEXT(B87,"ddd")</f>
        <v>fr</v>
      </c>
      <c r="B87" s="24" t="n">
        <v>43651</v>
      </c>
      <c r="C87" s="25" t="s">
        <v>112</v>
      </c>
      <c r="D87" s="26" t="n">
        <v>3500</v>
      </c>
      <c r="E87" s="26" t="n">
        <v>1500</v>
      </c>
      <c r="F87" s="22" t="n">
        <f aca="false">(D87-E87)*0.22</f>
        <v>440</v>
      </c>
      <c r="G87" s="22" t="n">
        <f aca="false">(D87-E87)-F87</f>
        <v>1560</v>
      </c>
      <c r="H87" s="41" t="n">
        <v>264</v>
      </c>
      <c r="I87" s="47" t="n">
        <f aca="false">H87/10</f>
        <v>26.4</v>
      </c>
      <c r="J87" s="60" t="n">
        <f aca="false">IF(H87=0,0,E87/H87*10)</f>
        <v>56.8181818181818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customFormat="false" ht="69" hidden="false" customHeight="true" outlineLevel="0" collapsed="false">
      <c r="A88" s="23" t="str">
        <f aca="false">TEXT(B88,"ddd")</f>
        <v>lö</v>
      </c>
      <c r="B88" s="24" t="n">
        <v>43652</v>
      </c>
      <c r="C88" s="25" t="s">
        <v>109</v>
      </c>
      <c r="D88" s="26"/>
      <c r="E88" s="26"/>
      <c r="F88" s="22"/>
      <c r="H88" s="41"/>
      <c r="I88" s="47" t="n">
        <f aca="false">H88/10</f>
        <v>0</v>
      </c>
      <c r="J88" s="60" t="n">
        <f aca="false">IF(H88=0,0,E88/H88*10)</f>
        <v>0</v>
      </c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customFormat="false" ht="35.25" hidden="false" customHeight="true" outlineLevel="0" collapsed="false">
      <c r="A89" s="49"/>
      <c r="B89" s="50"/>
      <c r="C89" s="51" t="s">
        <v>80</v>
      </c>
      <c r="D89" s="52" t="n">
        <f aca="false">SUM(D82:D88)</f>
        <v>3500</v>
      </c>
      <c r="E89" s="52" t="n">
        <f aca="false">SUM(E82:E88)</f>
        <v>1500</v>
      </c>
      <c r="F89" s="53" t="n">
        <f aca="false">SUM(F82:F88)</f>
        <v>440</v>
      </c>
      <c r="G89" s="54" t="n">
        <f aca="false">SUM(G82:G88)</f>
        <v>1560</v>
      </c>
      <c r="H89" s="55" t="n">
        <f aca="false">SUM(H82:H88)</f>
        <v>264</v>
      </c>
      <c r="I89" s="56" t="n">
        <f aca="false">H89/10</f>
        <v>26.4</v>
      </c>
      <c r="J89" s="57" t="n">
        <f aca="false">IF(H89=0,0,E89/H89*10)</f>
        <v>56.8181818181818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customFormat="false" ht="69" hidden="false" customHeight="true" outlineLevel="0" collapsed="false">
      <c r="A90" s="23" t="str">
        <f aca="false">TEXT(B90,"ddd")</f>
        <v>sö</v>
      </c>
      <c r="B90" s="24" t="n">
        <v>43653</v>
      </c>
      <c r="C90" s="25" t="s">
        <v>113</v>
      </c>
      <c r="D90" s="26" t="n">
        <v>1600</v>
      </c>
      <c r="E90" s="26" t="n">
        <v>450</v>
      </c>
      <c r="F90" s="22" t="n">
        <f aca="false">(D90-E90)*0.22</f>
        <v>253</v>
      </c>
      <c r="G90" s="22" t="n">
        <f aca="false">(D90-E90)-F90</f>
        <v>897</v>
      </c>
      <c r="H90" s="41" t="n">
        <v>64</v>
      </c>
      <c r="I90" s="47" t="n">
        <f aca="false">H90/10</f>
        <v>6.4</v>
      </c>
      <c r="J90" s="60" t="n">
        <f aca="false">IF(H90=0,0,E90/H90*10)</f>
        <v>70.3125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customFormat="false" ht="69" hidden="false" customHeight="true" outlineLevel="0" collapsed="false">
      <c r="A91" s="23" t="str">
        <f aca="false">TEXT(B91,"ddd")</f>
        <v>må</v>
      </c>
      <c r="B91" s="24" t="n">
        <v>43654</v>
      </c>
      <c r="C91" s="25"/>
      <c r="D91" s="26"/>
      <c r="E91" s="26"/>
      <c r="F91" s="22" t="n">
        <f aca="false">(D91-E91)*0.22</f>
        <v>0</v>
      </c>
      <c r="G91" s="22" t="n">
        <f aca="false">(D91-E91)-F91</f>
        <v>0</v>
      </c>
      <c r="H91" s="41"/>
      <c r="I91" s="47" t="n">
        <f aca="false">H91/10</f>
        <v>0</v>
      </c>
      <c r="J91" s="60" t="n">
        <f aca="false">IF(H91=0,0,E91/H91*10)</f>
        <v>0</v>
      </c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customFormat="false" ht="69" hidden="false" customHeight="true" outlineLevel="0" collapsed="false">
      <c r="A92" s="23" t="str">
        <f aca="false">TEXT(B92,"ddd")</f>
        <v>ti</v>
      </c>
      <c r="B92" s="24" t="n">
        <v>43655</v>
      </c>
      <c r="C92" s="25"/>
      <c r="D92" s="26"/>
      <c r="E92" s="26"/>
      <c r="F92" s="22" t="n">
        <f aca="false">(D92-E92)*0.22</f>
        <v>0</v>
      </c>
      <c r="G92" s="22" t="n">
        <f aca="false">(D92-E92)-F92</f>
        <v>0</v>
      </c>
      <c r="H92" s="41"/>
      <c r="I92" s="47" t="n">
        <f aca="false">H92/10</f>
        <v>0</v>
      </c>
      <c r="J92" s="60" t="n">
        <f aca="false">IF(H92=0,0,E92/H92*10)</f>
        <v>0</v>
      </c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customFormat="false" ht="69" hidden="false" customHeight="true" outlineLevel="0" collapsed="false">
      <c r="A93" s="23" t="str">
        <f aca="false">TEXT(B93,"ddd")</f>
        <v>on</v>
      </c>
      <c r="B93" s="24" t="n">
        <v>43656</v>
      </c>
      <c r="C93" s="25"/>
      <c r="D93" s="26"/>
      <c r="E93" s="26"/>
      <c r="F93" s="22" t="n">
        <f aca="false">(D93-E93)*0.22</f>
        <v>0</v>
      </c>
      <c r="G93" s="22" t="n">
        <f aca="false">(D93-E93)-F93</f>
        <v>0</v>
      </c>
      <c r="H93" s="41"/>
      <c r="I93" s="47" t="n">
        <f aca="false">H93/10</f>
        <v>0</v>
      </c>
      <c r="J93" s="60" t="n">
        <f aca="false">IF(H93=0,0,E93/H93*10)</f>
        <v>0</v>
      </c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customFormat="false" ht="69" hidden="false" customHeight="true" outlineLevel="0" collapsed="false">
      <c r="A94" s="23" t="str">
        <f aca="false">TEXT(B94,"ddd")</f>
        <v>to</v>
      </c>
      <c r="B94" s="24" t="n">
        <v>43657</v>
      </c>
      <c r="C94" s="25"/>
      <c r="D94" s="26"/>
      <c r="E94" s="26"/>
      <c r="F94" s="22" t="n">
        <f aca="false">(D94-E94)*0.22</f>
        <v>0</v>
      </c>
      <c r="G94" s="22" t="n">
        <f aca="false">(D94-E94)-F94</f>
        <v>0</v>
      </c>
      <c r="H94" s="41"/>
      <c r="I94" s="47" t="n">
        <f aca="false">H94/10</f>
        <v>0</v>
      </c>
      <c r="J94" s="60" t="n">
        <f aca="false">IF(H94=0,0,E94/H94*10)</f>
        <v>0</v>
      </c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customFormat="false" ht="69" hidden="false" customHeight="true" outlineLevel="0" collapsed="false">
      <c r="A95" s="23" t="str">
        <f aca="false">TEXT(B95,"ddd")</f>
        <v>fr</v>
      </c>
      <c r="B95" s="24" t="n">
        <v>43658</v>
      </c>
      <c r="C95" s="25" t="s">
        <v>114</v>
      </c>
      <c r="D95" s="26" t="n">
        <v>4000</v>
      </c>
      <c r="E95" s="26" t="n">
        <v>1500</v>
      </c>
      <c r="F95" s="22" t="n">
        <f aca="false">(D95-E95)*0.22</f>
        <v>550</v>
      </c>
      <c r="G95" s="22" t="n">
        <f aca="false">(D95-E95)-F95</f>
        <v>1950</v>
      </c>
      <c r="H95" s="41" t="n">
        <v>273</v>
      </c>
      <c r="I95" s="47" t="n">
        <f aca="false">H95/10</f>
        <v>27.3</v>
      </c>
      <c r="J95" s="60" t="n">
        <f aca="false">IF(H95=0,0,E95/H95*10)</f>
        <v>54.945054945055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customFormat="false" ht="69" hidden="false" customHeight="true" outlineLevel="0" collapsed="false">
      <c r="A96" s="23" t="str">
        <f aca="false">TEXT(B96,"ddd")</f>
        <v>lö</v>
      </c>
      <c r="B96" s="24" t="n">
        <v>43659</v>
      </c>
      <c r="C96" s="25" t="s">
        <v>115</v>
      </c>
      <c r="D96" s="26" t="n">
        <v>2500</v>
      </c>
      <c r="E96" s="26" t="n">
        <v>800</v>
      </c>
      <c r="F96" s="22" t="n">
        <f aca="false">(D96-E96)*0.22</f>
        <v>374</v>
      </c>
      <c r="G96" s="22" t="n">
        <f aca="false">(D96-E96)-F96</f>
        <v>1326</v>
      </c>
      <c r="H96" s="41" t="n">
        <v>208</v>
      </c>
      <c r="I96" s="47" t="n">
        <f aca="false">H96/10</f>
        <v>20.8</v>
      </c>
      <c r="J96" s="60" t="n">
        <f aca="false">IF(H96=0,0,E96/H96*10)</f>
        <v>38.4615384615385</v>
      </c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customFormat="false" ht="35.25" hidden="false" customHeight="true" outlineLevel="0" collapsed="false">
      <c r="A97" s="49"/>
      <c r="B97" s="50"/>
      <c r="C97" s="51" t="s">
        <v>80</v>
      </c>
      <c r="D97" s="52" t="n">
        <f aca="false">SUM(D90:D96)</f>
        <v>8100</v>
      </c>
      <c r="E97" s="52" t="n">
        <f aca="false">SUM(E90:E96)</f>
        <v>2750</v>
      </c>
      <c r="F97" s="53" t="n">
        <f aca="false">SUM(F90:F96)</f>
        <v>1177</v>
      </c>
      <c r="G97" s="54" t="n">
        <f aca="false">SUM(G90:G96)</f>
        <v>4173</v>
      </c>
      <c r="H97" s="55" t="n">
        <f aca="false">SUM(H90:H96)</f>
        <v>545</v>
      </c>
      <c r="I97" s="56" t="n">
        <f aca="false">H97/10</f>
        <v>54.5</v>
      </c>
      <c r="J97" s="57" t="n">
        <f aca="false">IF(H97=0,0,E97/H97*10)</f>
        <v>50.4587155963303</v>
      </c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customFormat="false" ht="69" hidden="false" customHeight="true" outlineLevel="0" collapsed="false">
      <c r="A98" s="23" t="str">
        <f aca="false">TEXT(B98,"ddd")</f>
        <v>sö</v>
      </c>
      <c r="B98" s="24" t="n">
        <v>43660</v>
      </c>
      <c r="C98" s="25" t="s">
        <v>115</v>
      </c>
      <c r="D98" s="26" t="n">
        <v>2500</v>
      </c>
      <c r="E98" s="26" t="n">
        <v>1000</v>
      </c>
      <c r="F98" s="22" t="n">
        <f aca="false">(D98-E98)*0.22</f>
        <v>330</v>
      </c>
      <c r="G98" s="22" t="n">
        <f aca="false">(D98-E98)-F98</f>
        <v>1170</v>
      </c>
      <c r="H98" s="41" t="n">
        <v>296</v>
      </c>
      <c r="I98" s="47" t="n">
        <f aca="false">H98/10</f>
        <v>29.6</v>
      </c>
      <c r="J98" s="60" t="n">
        <f aca="false">IF(H98=0,0,E98/H98*10)</f>
        <v>33.7837837837838</v>
      </c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customFormat="false" ht="69" hidden="false" customHeight="true" outlineLevel="0" collapsed="false">
      <c r="A99" s="23" t="str">
        <f aca="false">TEXT(B99,"ddd")</f>
        <v>må</v>
      </c>
      <c r="B99" s="24" t="n">
        <v>43661</v>
      </c>
      <c r="C99" s="25"/>
      <c r="D99" s="26"/>
      <c r="E99" s="26"/>
      <c r="F99" s="22" t="n">
        <f aca="false">(D99-E99)*0.22</f>
        <v>0</v>
      </c>
      <c r="G99" s="22" t="n">
        <f aca="false">(D99-E99)-F99</f>
        <v>0</v>
      </c>
      <c r="H99" s="41"/>
      <c r="I99" s="47" t="n">
        <f aca="false">H99/10</f>
        <v>0</v>
      </c>
      <c r="J99" s="60" t="n">
        <f aca="false">IF(H99=0,0,E99/H99*10)</f>
        <v>0</v>
      </c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customFormat="false" ht="69" hidden="false" customHeight="true" outlineLevel="0" collapsed="false">
      <c r="A100" s="23" t="str">
        <f aca="false">TEXT(B100,"ddd")</f>
        <v>ti</v>
      </c>
      <c r="B100" s="24" t="n">
        <v>43662</v>
      </c>
      <c r="C100" s="25"/>
      <c r="D100" s="26"/>
      <c r="E100" s="26"/>
      <c r="F100" s="22" t="n">
        <f aca="false">(D100-E100)*0.22</f>
        <v>0</v>
      </c>
      <c r="G100" s="22" t="n">
        <f aca="false">(D100-E100)-F100</f>
        <v>0</v>
      </c>
      <c r="H100" s="41"/>
      <c r="I100" s="47" t="n">
        <f aca="false">H100/10</f>
        <v>0</v>
      </c>
      <c r="J100" s="60" t="n">
        <f aca="false">IF(H100=0,0,E100/H100*10)</f>
        <v>0</v>
      </c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customFormat="false" ht="69" hidden="false" customHeight="true" outlineLevel="0" collapsed="false">
      <c r="A101" s="23" t="str">
        <f aca="false">TEXT(B101,"ddd")</f>
        <v>on</v>
      </c>
      <c r="B101" s="24" t="n">
        <v>43663</v>
      </c>
      <c r="C101" s="25"/>
      <c r="D101" s="26"/>
      <c r="E101" s="26"/>
      <c r="F101" s="22" t="n">
        <f aca="false">(D101-E101)*0.22</f>
        <v>0</v>
      </c>
      <c r="G101" s="22" t="n">
        <f aca="false">(D101-E101)-F101</f>
        <v>0</v>
      </c>
      <c r="H101" s="41"/>
      <c r="I101" s="47" t="n">
        <f aca="false">H101/10</f>
        <v>0</v>
      </c>
      <c r="J101" s="60" t="n">
        <f aca="false">IF(H101=0,0,E101/H101*10)</f>
        <v>0</v>
      </c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customFormat="false" ht="69" hidden="false" customHeight="true" outlineLevel="0" collapsed="false">
      <c r="A102" s="23" t="str">
        <f aca="false">TEXT(B102,"ddd")</f>
        <v>to</v>
      </c>
      <c r="B102" s="24" t="n">
        <v>43664</v>
      </c>
      <c r="C102" s="25"/>
      <c r="D102" s="26"/>
      <c r="E102" s="26"/>
      <c r="F102" s="22" t="n">
        <f aca="false">(D102-E102)*0.22</f>
        <v>0</v>
      </c>
      <c r="G102" s="22" t="n">
        <f aca="false">(D102-E102)-F102</f>
        <v>0</v>
      </c>
      <c r="H102" s="41"/>
      <c r="I102" s="47" t="n">
        <f aca="false">H102/10</f>
        <v>0</v>
      </c>
      <c r="J102" s="60" t="n">
        <f aca="false">IF(H102=0,0,E102/H102*10)</f>
        <v>0</v>
      </c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customFormat="false" ht="69" hidden="false" customHeight="true" outlineLevel="0" collapsed="false">
      <c r="A103" s="23" t="str">
        <f aca="false">TEXT(B103,"ddd")</f>
        <v>fr</v>
      </c>
      <c r="B103" s="24" t="n">
        <v>43665</v>
      </c>
      <c r="C103" s="25"/>
      <c r="D103" s="26"/>
      <c r="E103" s="26"/>
      <c r="F103" s="22" t="n">
        <f aca="false">(D103-E103)*0.22</f>
        <v>0</v>
      </c>
      <c r="G103" s="22" t="n">
        <f aca="false">(D103-E103)-F103</f>
        <v>0</v>
      </c>
      <c r="H103" s="41"/>
      <c r="I103" s="47" t="n">
        <f aca="false">H103/10</f>
        <v>0</v>
      </c>
      <c r="J103" s="60" t="n">
        <f aca="false">IF(H103=0,0,E103/H103*10)</f>
        <v>0</v>
      </c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customFormat="false" ht="69" hidden="false" customHeight="true" outlineLevel="0" collapsed="false">
      <c r="A104" s="23" t="str">
        <f aca="false">TEXT(B104,"ddd")</f>
        <v>lö</v>
      </c>
      <c r="B104" s="24" t="n">
        <v>43666</v>
      </c>
      <c r="C104" s="25" t="s">
        <v>116</v>
      </c>
      <c r="D104" s="26" t="n">
        <v>3100</v>
      </c>
      <c r="E104" s="26" t="n">
        <v>1000</v>
      </c>
      <c r="F104" s="22" t="n">
        <f aca="false">(D104-E104)*0.22</f>
        <v>462</v>
      </c>
      <c r="G104" s="22" t="n">
        <f aca="false">(D104-E104)-F104</f>
        <v>1638</v>
      </c>
      <c r="H104" s="41" t="n">
        <v>212</v>
      </c>
      <c r="I104" s="47" t="n">
        <f aca="false">H104/10</f>
        <v>21.2</v>
      </c>
      <c r="J104" s="60" t="n">
        <f aca="false">IF(H104=0,0,E104/H104*10)</f>
        <v>47.1698113207547</v>
      </c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customFormat="false" ht="35.25" hidden="false" customHeight="true" outlineLevel="0" collapsed="false">
      <c r="A105" s="49"/>
      <c r="B105" s="50"/>
      <c r="C105" s="51" t="s">
        <v>80</v>
      </c>
      <c r="D105" s="52" t="n">
        <f aca="false">SUM(D98:D104)</f>
        <v>5600</v>
      </c>
      <c r="E105" s="52" t="n">
        <f aca="false">SUM(E98:E104)</f>
        <v>2000</v>
      </c>
      <c r="F105" s="53" t="n">
        <f aca="false">SUM(F98:F104)</f>
        <v>792</v>
      </c>
      <c r="G105" s="54" t="n">
        <f aca="false">SUM(G98:G104)</f>
        <v>2808</v>
      </c>
      <c r="H105" s="55" t="n">
        <f aca="false">SUM(H98:H104)</f>
        <v>508</v>
      </c>
      <c r="I105" s="56" t="n">
        <f aca="false">H105/10</f>
        <v>50.8</v>
      </c>
      <c r="J105" s="57" t="n">
        <f aca="false">IF(H105=0,0,E105/H105*10)</f>
        <v>39.3700787401575</v>
      </c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customFormat="false" ht="69" hidden="false" customHeight="true" outlineLevel="0" collapsed="false">
      <c r="A106" s="23" t="str">
        <f aca="false">TEXT(B106,"ddd")</f>
        <v>sö</v>
      </c>
      <c r="B106" s="24" t="n">
        <v>43667</v>
      </c>
      <c r="C106" s="25" t="s">
        <v>117</v>
      </c>
      <c r="D106" s="26" t="n">
        <v>2500</v>
      </c>
      <c r="E106" s="26" t="n">
        <v>1000</v>
      </c>
      <c r="F106" s="22" t="n">
        <v>330</v>
      </c>
      <c r="G106" s="3" t="n">
        <v>1120</v>
      </c>
      <c r="H106" s="41" t="n">
        <v>212</v>
      </c>
      <c r="I106" s="47" t="n">
        <f aca="false">H106/10</f>
        <v>21.2</v>
      </c>
      <c r="J106" s="60" t="n">
        <f aca="false">IF(H106=0,0,E106/H106*10)</f>
        <v>47.1698113207547</v>
      </c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customFormat="false" ht="69" hidden="false" customHeight="true" outlineLevel="0" collapsed="false">
      <c r="A107" s="23" t="str">
        <f aca="false">TEXT(B107,"ddd")</f>
        <v>må</v>
      </c>
      <c r="B107" s="24" t="n">
        <v>43668</v>
      </c>
      <c r="C107" s="25"/>
      <c r="D107" s="26"/>
      <c r="E107" s="26"/>
      <c r="F107" s="22"/>
      <c r="H107" s="41"/>
      <c r="I107" s="47" t="n">
        <f aca="false">H107/10</f>
        <v>0</v>
      </c>
      <c r="J107" s="60" t="n">
        <f aca="false">IF(H107=0,0,E107/H107*10)</f>
        <v>0</v>
      </c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customFormat="false" ht="69" hidden="false" customHeight="true" outlineLevel="0" collapsed="false">
      <c r="A108" s="23" t="str">
        <f aca="false">TEXT(B108,"ddd")</f>
        <v>ti</v>
      </c>
      <c r="B108" s="24" t="n">
        <v>43669</v>
      </c>
      <c r="C108" s="25"/>
      <c r="D108" s="26"/>
      <c r="E108" s="26"/>
      <c r="F108" s="22"/>
      <c r="H108" s="41"/>
      <c r="I108" s="47" t="n">
        <f aca="false">H108/10</f>
        <v>0</v>
      </c>
      <c r="J108" s="60" t="n">
        <f aca="false">IF(H108=0,0,E108/H108*10)</f>
        <v>0</v>
      </c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customFormat="false" ht="69" hidden="false" customHeight="true" outlineLevel="0" collapsed="false">
      <c r="A109" s="23" t="str">
        <f aca="false">TEXT(B109,"ddd")</f>
        <v>on</v>
      </c>
      <c r="B109" s="24" t="n">
        <v>43670</v>
      </c>
      <c r="C109" s="25"/>
      <c r="D109" s="26"/>
      <c r="E109" s="26"/>
      <c r="F109" s="22"/>
      <c r="H109" s="41"/>
      <c r="I109" s="47" t="n">
        <f aca="false">H109/10</f>
        <v>0</v>
      </c>
      <c r="J109" s="60" t="n">
        <f aca="false">IF(H109=0,0,E109/H109*10)</f>
        <v>0</v>
      </c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customFormat="false" ht="69" hidden="false" customHeight="true" outlineLevel="0" collapsed="false">
      <c r="A110" s="23" t="str">
        <f aca="false">TEXT(B110,"ddd")</f>
        <v>to</v>
      </c>
      <c r="B110" s="24" t="n">
        <v>43671</v>
      </c>
      <c r="C110" s="25"/>
      <c r="D110" s="26"/>
      <c r="E110" s="26"/>
      <c r="F110" s="22"/>
      <c r="H110" s="41"/>
      <c r="I110" s="47" t="n">
        <f aca="false">H110/10</f>
        <v>0</v>
      </c>
      <c r="J110" s="60" t="n">
        <f aca="false">IF(H110=0,0,E110/H110*10)</f>
        <v>0</v>
      </c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customFormat="false" ht="69" hidden="false" customHeight="true" outlineLevel="0" collapsed="false">
      <c r="A111" s="23" t="str">
        <f aca="false">TEXT(B111,"ddd")</f>
        <v>fr</v>
      </c>
      <c r="B111" s="24" t="n">
        <v>43672</v>
      </c>
      <c r="C111" s="25" t="s">
        <v>118</v>
      </c>
      <c r="D111" s="26" t="n">
        <v>4500</v>
      </c>
      <c r="E111" s="26" t="n">
        <v>1800</v>
      </c>
      <c r="F111" s="22" t="n">
        <v>594</v>
      </c>
      <c r="G111" s="3" t="n">
        <v>2106</v>
      </c>
      <c r="H111" s="41" t="n">
        <v>295</v>
      </c>
      <c r="I111" s="47" t="n">
        <f aca="false">H111/10</f>
        <v>29.5</v>
      </c>
      <c r="J111" s="60" t="n">
        <f aca="false">IF(H111=0,0,E111/H111*10)</f>
        <v>61.0169491525424</v>
      </c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customFormat="false" ht="69" hidden="false" customHeight="true" outlineLevel="0" collapsed="false">
      <c r="A112" s="23" t="str">
        <f aca="false">TEXT(B112,"ddd")</f>
        <v>lö</v>
      </c>
      <c r="B112" s="24" t="n">
        <v>43673</v>
      </c>
      <c r="C112" s="25" t="s">
        <v>119</v>
      </c>
      <c r="D112" s="26" t="n">
        <v>2000</v>
      </c>
      <c r="E112" s="26" t="n">
        <v>800</v>
      </c>
      <c r="F112" s="22" t="n">
        <v>264</v>
      </c>
      <c r="G112" s="3" t="n">
        <v>936</v>
      </c>
      <c r="H112" s="41" t="n">
        <v>184</v>
      </c>
      <c r="I112" s="47" t="n">
        <f aca="false">H112/10</f>
        <v>18.4</v>
      </c>
      <c r="J112" s="60" t="n">
        <f aca="false">IF(H112=0,0,E112/H112*10)</f>
        <v>43.4782608695652</v>
      </c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customFormat="false" ht="35.25" hidden="false" customHeight="true" outlineLevel="0" collapsed="false">
      <c r="A113" s="49"/>
      <c r="B113" s="50"/>
      <c r="C113" s="51" t="s">
        <v>80</v>
      </c>
      <c r="D113" s="52" t="n">
        <f aca="false">SUM(D106:D112)</f>
        <v>9000</v>
      </c>
      <c r="E113" s="52" t="n">
        <f aca="false">SUM(E106:E112)</f>
        <v>3600</v>
      </c>
      <c r="F113" s="53" t="n">
        <f aca="false">SUM(F106:F112)</f>
        <v>1188</v>
      </c>
      <c r="G113" s="54" t="n">
        <f aca="false">SUM(G106:G112)</f>
        <v>4162</v>
      </c>
      <c r="H113" s="55" t="n">
        <f aca="false">SUM(H106:H112)</f>
        <v>691</v>
      </c>
      <c r="I113" s="56" t="n">
        <f aca="false">H113/10</f>
        <v>69.1</v>
      </c>
      <c r="J113" s="57" t="n">
        <f aca="false">IF(H113=0,0,E113/H113*10)</f>
        <v>52.0984081041968</v>
      </c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customFormat="false" ht="69" hidden="false" customHeight="true" outlineLevel="0" collapsed="false">
      <c r="A114" s="23" t="str">
        <f aca="false">TEXT(B114,"ddd")</f>
        <v>sö</v>
      </c>
      <c r="B114" s="24" t="n">
        <v>43674</v>
      </c>
      <c r="C114" s="25" t="s">
        <v>120</v>
      </c>
      <c r="D114" s="26" t="n">
        <v>2500</v>
      </c>
      <c r="E114" s="26" t="n">
        <v>1000</v>
      </c>
      <c r="F114" s="22" t="n">
        <f aca="false">(D114-E114)*0.22</f>
        <v>330</v>
      </c>
      <c r="G114" s="22" t="n">
        <f aca="false">(D114-E114)-F114</f>
        <v>1170</v>
      </c>
      <c r="H114" s="41" t="n">
        <v>184</v>
      </c>
      <c r="I114" s="47" t="n">
        <f aca="false">H114/10</f>
        <v>18.4</v>
      </c>
      <c r="J114" s="60" t="n">
        <f aca="false">IF(H114=0,0,E114/H114*10)</f>
        <v>54.3478260869565</v>
      </c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customFormat="false" ht="69" hidden="false" customHeight="true" outlineLevel="0" collapsed="false">
      <c r="A115" s="23" t="str">
        <f aca="false">TEXT(B115,"ddd")</f>
        <v>må</v>
      </c>
      <c r="B115" s="24" t="n">
        <v>43675</v>
      </c>
      <c r="C115" s="25"/>
      <c r="D115" s="26"/>
      <c r="E115" s="26"/>
      <c r="F115" s="22"/>
      <c r="H115" s="41"/>
      <c r="I115" s="47" t="n">
        <f aca="false">H115/10</f>
        <v>0</v>
      </c>
      <c r="J115" s="60" t="n">
        <f aca="false">IF(H115=0,0,E115/H115*10)</f>
        <v>0</v>
      </c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customFormat="false" ht="69" hidden="false" customHeight="true" outlineLevel="0" collapsed="false">
      <c r="A116" s="23" t="str">
        <f aca="false">TEXT(B116,"ddd")</f>
        <v>ti</v>
      </c>
      <c r="B116" s="24" t="n">
        <v>43676</v>
      </c>
      <c r="C116" s="25"/>
      <c r="D116" s="26"/>
      <c r="E116" s="26"/>
      <c r="F116" s="22"/>
      <c r="H116" s="41"/>
      <c r="I116" s="47" t="n">
        <f aca="false">H116/10</f>
        <v>0</v>
      </c>
      <c r="J116" s="60" t="n">
        <f aca="false">IF(H116=0,0,E116/H116*10)</f>
        <v>0</v>
      </c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customFormat="false" ht="69" hidden="false" customHeight="true" outlineLevel="0" collapsed="false">
      <c r="A117" s="23" t="str">
        <f aca="false">TEXT(B117,"ddd")</f>
        <v>on</v>
      </c>
      <c r="B117" s="24" t="n">
        <v>43677</v>
      </c>
      <c r="C117" s="25"/>
      <c r="D117" s="26"/>
      <c r="E117" s="26"/>
      <c r="F117" s="22"/>
      <c r="H117" s="41"/>
      <c r="I117" s="47" t="n">
        <f aca="false">H117/10</f>
        <v>0</v>
      </c>
      <c r="J117" s="60" t="n">
        <f aca="false">IF(H117=0,0,E117/H117*10)</f>
        <v>0</v>
      </c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customFormat="false" ht="69" hidden="false" customHeight="true" outlineLevel="0" collapsed="false">
      <c r="A118" s="23" t="str">
        <f aca="false">TEXT(B118,"ddd")</f>
        <v>to</v>
      </c>
      <c r="B118" s="24" t="n">
        <v>43678</v>
      </c>
      <c r="C118" s="25"/>
      <c r="D118" s="26"/>
      <c r="E118" s="26"/>
      <c r="F118" s="22"/>
      <c r="H118" s="41"/>
      <c r="I118" s="47" t="n">
        <f aca="false">H118/10</f>
        <v>0</v>
      </c>
      <c r="J118" s="60" t="n">
        <f aca="false">IF(H118=0,0,E118/H118*10)</f>
        <v>0</v>
      </c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customFormat="false" ht="69" hidden="false" customHeight="true" outlineLevel="0" collapsed="false">
      <c r="A119" s="23" t="str">
        <f aca="false">TEXT(B119,"ddd")</f>
        <v>fr</v>
      </c>
      <c r="B119" s="24" t="n">
        <v>43679</v>
      </c>
      <c r="C119" s="25"/>
      <c r="D119" s="26"/>
      <c r="E119" s="26"/>
      <c r="F119" s="22"/>
      <c r="H119" s="41"/>
      <c r="I119" s="47" t="n">
        <f aca="false">H119/10</f>
        <v>0</v>
      </c>
      <c r="J119" s="60" t="n">
        <f aca="false">IF(H119=0,0,E119/H119*10)</f>
        <v>0</v>
      </c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customFormat="false" ht="69" hidden="false" customHeight="true" outlineLevel="0" collapsed="false">
      <c r="A120" s="23" t="str">
        <f aca="false">TEXT(B120,"ddd")</f>
        <v>lö</v>
      </c>
      <c r="B120" s="24" t="n">
        <v>43680</v>
      </c>
      <c r="C120" s="25"/>
      <c r="D120" s="26"/>
      <c r="E120" s="26"/>
      <c r="F120" s="22"/>
      <c r="H120" s="41"/>
      <c r="I120" s="47" t="n">
        <f aca="false">H120/10</f>
        <v>0</v>
      </c>
      <c r="J120" s="60" t="n">
        <f aca="false">IF(H120=0,0,E120/H120*10)</f>
        <v>0</v>
      </c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customFormat="false" ht="35.25" hidden="false" customHeight="true" outlineLevel="0" collapsed="false">
      <c r="A121" s="49"/>
      <c r="B121" s="50"/>
      <c r="C121" s="51" t="s">
        <v>80</v>
      </c>
      <c r="D121" s="52" t="n">
        <f aca="false">SUM(D114:D120)</f>
        <v>2500</v>
      </c>
      <c r="E121" s="52" t="n">
        <f aca="false">SUM(E114:E120)</f>
        <v>1000</v>
      </c>
      <c r="F121" s="53" t="n">
        <f aca="false">SUM(F114:F120)</f>
        <v>330</v>
      </c>
      <c r="G121" s="54" t="n">
        <f aca="false">SUM(G114:G120)</f>
        <v>1170</v>
      </c>
      <c r="H121" s="55" t="n">
        <f aca="false">SUM(H114:H120)</f>
        <v>184</v>
      </c>
      <c r="I121" s="56" t="n">
        <f aca="false">H121/10</f>
        <v>18.4</v>
      </c>
      <c r="J121" s="57" t="n">
        <f aca="false">IF(H121=0,0,E121/H121*10)</f>
        <v>54.3478260869565</v>
      </c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customFormat="false" ht="69" hidden="false" customHeight="true" outlineLevel="0" collapsed="false">
      <c r="A122" s="23" t="str">
        <f aca="false">TEXT(B122,"ddd")</f>
        <v>sö</v>
      </c>
      <c r="B122" s="24" t="n">
        <v>43681</v>
      </c>
      <c r="C122" s="25"/>
      <c r="D122" s="26"/>
      <c r="E122" s="26"/>
      <c r="F122" s="22"/>
      <c r="H122" s="41"/>
      <c r="I122" s="47" t="n">
        <f aca="false">H122/10</f>
        <v>0</v>
      </c>
      <c r="J122" s="60" t="n">
        <f aca="false">IF(H122=0,0,E122/H122*10)</f>
        <v>0</v>
      </c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customFormat="false" ht="69" hidden="false" customHeight="true" outlineLevel="0" collapsed="false">
      <c r="A123" s="23" t="str">
        <f aca="false">TEXT(B123,"ddd")</f>
        <v>må</v>
      </c>
      <c r="B123" s="24" t="n">
        <v>43682</v>
      </c>
      <c r="C123" s="25"/>
      <c r="D123" s="26"/>
      <c r="E123" s="26"/>
      <c r="F123" s="22"/>
      <c r="H123" s="41"/>
      <c r="I123" s="47" t="n">
        <f aca="false">H123/10</f>
        <v>0</v>
      </c>
      <c r="J123" s="60" t="n">
        <f aca="false">IF(H123=0,0,E123/H123*10)</f>
        <v>0</v>
      </c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customFormat="false" ht="69" hidden="false" customHeight="true" outlineLevel="0" collapsed="false">
      <c r="A124" s="23" t="str">
        <f aca="false">TEXT(B124,"ddd")</f>
        <v>ti</v>
      </c>
      <c r="B124" s="24" t="n">
        <v>43683</v>
      </c>
      <c r="C124" s="25"/>
      <c r="D124" s="26"/>
      <c r="E124" s="26"/>
      <c r="F124" s="22"/>
      <c r="H124" s="41"/>
      <c r="I124" s="47" t="n">
        <f aca="false">H124/10</f>
        <v>0</v>
      </c>
      <c r="J124" s="60" t="n">
        <f aca="false">IF(H124=0,0,E124/H124*10)</f>
        <v>0</v>
      </c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customFormat="false" ht="69" hidden="false" customHeight="true" outlineLevel="0" collapsed="false">
      <c r="A125" s="23" t="str">
        <f aca="false">TEXT(B125,"ddd")</f>
        <v>on</v>
      </c>
      <c r="B125" s="24" t="n">
        <v>43684</v>
      </c>
      <c r="C125" s="25"/>
      <c r="D125" s="26"/>
      <c r="E125" s="26"/>
      <c r="F125" s="22"/>
      <c r="H125" s="41"/>
      <c r="I125" s="47" t="n">
        <f aca="false">H125/10</f>
        <v>0</v>
      </c>
      <c r="J125" s="60" t="n">
        <f aca="false">IF(H125=0,0,E125/H125*10)</f>
        <v>0</v>
      </c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customFormat="false" ht="69" hidden="false" customHeight="true" outlineLevel="0" collapsed="false">
      <c r="A126" s="23" t="str">
        <f aca="false">TEXT(B126,"ddd")</f>
        <v>to</v>
      </c>
      <c r="B126" s="24" t="n">
        <v>43685</v>
      </c>
      <c r="C126" s="25" t="s">
        <v>121</v>
      </c>
      <c r="D126" s="26" t="n">
        <v>2500</v>
      </c>
      <c r="E126" s="26" t="n">
        <v>1000</v>
      </c>
      <c r="F126" s="22" t="n">
        <f aca="false">(D126-E126)*0.22</f>
        <v>330</v>
      </c>
      <c r="G126" s="22" t="n">
        <f aca="false">(D126-E126)-F126</f>
        <v>1170</v>
      </c>
      <c r="H126" s="41" t="n">
        <v>184</v>
      </c>
      <c r="I126" s="47" t="n">
        <f aca="false">H126/10</f>
        <v>18.4</v>
      </c>
      <c r="J126" s="60" t="n">
        <f aca="false">IF(H126=0,0,E126/H126*10)</f>
        <v>54.3478260869565</v>
      </c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customFormat="false" ht="69" hidden="false" customHeight="true" outlineLevel="0" collapsed="false">
      <c r="A127" s="23" t="str">
        <f aca="false">TEXT(B127,"ddd")</f>
        <v>fr</v>
      </c>
      <c r="B127" s="24" t="n">
        <v>43686</v>
      </c>
      <c r="C127" s="25"/>
      <c r="D127" s="26"/>
      <c r="E127" s="26"/>
      <c r="F127" s="22" t="n">
        <f aca="false">(D127-E127)*0.22</f>
        <v>0</v>
      </c>
      <c r="G127" s="22" t="n">
        <f aca="false">(D127-E127)-F127</f>
        <v>0</v>
      </c>
      <c r="H127" s="41"/>
      <c r="I127" s="47" t="n">
        <f aca="false">H127/10</f>
        <v>0</v>
      </c>
      <c r="J127" s="60" t="n">
        <f aca="false">IF(H127=0,0,E127/H127*10)</f>
        <v>0</v>
      </c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customFormat="false" ht="69" hidden="false" customHeight="true" outlineLevel="0" collapsed="false">
      <c r="A128" s="23" t="str">
        <f aca="false">TEXT(B128,"ddd")</f>
        <v>lö</v>
      </c>
      <c r="B128" s="24" t="n">
        <v>43687</v>
      </c>
      <c r="C128" s="25" t="s">
        <v>122</v>
      </c>
      <c r="D128" s="26" t="n">
        <v>1800</v>
      </c>
      <c r="E128" s="26" t="n">
        <v>600</v>
      </c>
      <c r="F128" s="22" t="n">
        <f aca="false">(D128-E128)*0.22</f>
        <v>264</v>
      </c>
      <c r="G128" s="22" t="n">
        <f aca="false">(D128-E128)-F128</f>
        <v>936</v>
      </c>
      <c r="H128" s="41" t="n">
        <v>170</v>
      </c>
      <c r="I128" s="47" t="n">
        <f aca="false">H128/10</f>
        <v>17</v>
      </c>
      <c r="J128" s="60" t="n">
        <f aca="false">IF(H128=0,0,E128/H128*10)</f>
        <v>35.2941176470588</v>
      </c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customFormat="false" ht="35.25" hidden="false" customHeight="true" outlineLevel="0" collapsed="false">
      <c r="A129" s="49"/>
      <c r="B129" s="50"/>
      <c r="C129" s="51" t="s">
        <v>80</v>
      </c>
      <c r="D129" s="52" t="n">
        <f aca="false">SUM(D122:D128)</f>
        <v>4300</v>
      </c>
      <c r="E129" s="52" t="n">
        <f aca="false">SUM(E122:E128)</f>
        <v>1600</v>
      </c>
      <c r="F129" s="52" t="n">
        <f aca="false">(D129-E129)*0.22</f>
        <v>594</v>
      </c>
      <c r="G129" s="52" t="n">
        <f aca="false">(D129-E129)-F129</f>
        <v>2106</v>
      </c>
      <c r="H129" s="55" t="n">
        <f aca="false">SUM(H122:H128)</f>
        <v>354</v>
      </c>
      <c r="I129" s="56" t="n">
        <f aca="false">H129/10</f>
        <v>35.4</v>
      </c>
      <c r="J129" s="57" t="n">
        <f aca="false">IF(H129=0,0,E129/H129*10)</f>
        <v>45.1977401129944</v>
      </c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customFormat="false" ht="69" hidden="false" customHeight="true" outlineLevel="0" collapsed="false">
      <c r="A130" s="23" t="str">
        <f aca="false">TEXT(B130,"ddd")</f>
        <v>sö</v>
      </c>
      <c r="B130" s="24" t="n">
        <v>43688</v>
      </c>
      <c r="C130" s="25"/>
      <c r="D130" s="26"/>
      <c r="E130" s="26"/>
      <c r="F130" s="22"/>
      <c r="H130" s="41"/>
      <c r="I130" s="47" t="n">
        <f aca="false">H130/10</f>
        <v>0</v>
      </c>
      <c r="J130" s="60" t="n">
        <f aca="false">IF(H130=0,0,E130/H130*10)</f>
        <v>0</v>
      </c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customFormat="false" ht="69" hidden="false" customHeight="true" outlineLevel="0" collapsed="false">
      <c r="A131" s="23" t="str">
        <f aca="false">TEXT(B131,"ddd")</f>
        <v>må</v>
      </c>
      <c r="B131" s="24" t="n">
        <v>43689</v>
      </c>
      <c r="C131" s="25"/>
      <c r="D131" s="26"/>
      <c r="E131" s="26"/>
      <c r="F131" s="22"/>
      <c r="H131" s="41"/>
      <c r="I131" s="47" t="n">
        <f aca="false">H131/10</f>
        <v>0</v>
      </c>
      <c r="J131" s="60" t="n">
        <f aca="false">IF(H131=0,0,E131/H131*10)</f>
        <v>0</v>
      </c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customFormat="false" ht="69" hidden="false" customHeight="true" outlineLevel="0" collapsed="false">
      <c r="A132" s="23" t="str">
        <f aca="false">TEXT(B132,"ddd")</f>
        <v>ti</v>
      </c>
      <c r="B132" s="24" t="n">
        <v>43690</v>
      </c>
      <c r="C132" s="25"/>
      <c r="D132" s="26"/>
      <c r="E132" s="26"/>
      <c r="F132" s="22"/>
      <c r="H132" s="41"/>
      <c r="I132" s="47" t="n">
        <f aca="false">H132/10</f>
        <v>0</v>
      </c>
      <c r="J132" s="60" t="n">
        <f aca="false">IF(H132=0,0,E132/H132*10)</f>
        <v>0</v>
      </c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customFormat="false" ht="69" hidden="false" customHeight="true" outlineLevel="0" collapsed="false">
      <c r="A133" s="23" t="str">
        <f aca="false">TEXT(B133,"ddd")</f>
        <v>on</v>
      </c>
      <c r="B133" s="24" t="n">
        <v>43691</v>
      </c>
      <c r="C133" s="25"/>
      <c r="D133" s="26"/>
      <c r="E133" s="26"/>
      <c r="F133" s="22"/>
      <c r="H133" s="41"/>
      <c r="I133" s="47" t="n">
        <f aca="false">H133/10</f>
        <v>0</v>
      </c>
      <c r="J133" s="60" t="n">
        <f aca="false">IF(H133=0,0,E133/H133*10)</f>
        <v>0</v>
      </c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customFormat="false" ht="69" hidden="false" customHeight="true" outlineLevel="0" collapsed="false">
      <c r="A134" s="23" t="str">
        <f aca="false">TEXT(B134,"ddd")</f>
        <v>to</v>
      </c>
      <c r="B134" s="24" t="n">
        <v>43692</v>
      </c>
      <c r="C134" s="25"/>
      <c r="D134" s="26"/>
      <c r="E134" s="26"/>
      <c r="F134" s="22" t="n">
        <f aca="false">(D134-E134)*0.22</f>
        <v>0</v>
      </c>
      <c r="G134" s="22" t="n">
        <f aca="false">(D134-E134)-F134</f>
        <v>0</v>
      </c>
      <c r="H134" s="41"/>
      <c r="I134" s="47" t="n">
        <f aca="false">H134/10</f>
        <v>0</v>
      </c>
      <c r="J134" s="60" t="n">
        <f aca="false">IF(H134=0,0,E134/H134*10)</f>
        <v>0</v>
      </c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customFormat="false" ht="69" hidden="false" customHeight="true" outlineLevel="0" collapsed="false">
      <c r="A135" s="23" t="str">
        <f aca="false">TEXT(B135,"ddd")</f>
        <v>fr</v>
      </c>
      <c r="B135" s="24" t="n">
        <v>43693</v>
      </c>
      <c r="C135" s="25" t="s">
        <v>121</v>
      </c>
      <c r="D135" s="26" t="n">
        <v>2500</v>
      </c>
      <c r="E135" s="26" t="n">
        <v>1000</v>
      </c>
      <c r="F135" s="22" t="n">
        <f aca="false">(D135-E135)*0.22</f>
        <v>330</v>
      </c>
      <c r="G135" s="22" t="n">
        <f aca="false">(D135-E135)-F135</f>
        <v>1170</v>
      </c>
      <c r="H135" s="41" t="n">
        <v>198</v>
      </c>
      <c r="I135" s="47" t="n">
        <f aca="false">H135/10</f>
        <v>19.8</v>
      </c>
      <c r="J135" s="60" t="n">
        <f aca="false">IF(H135=0,0,E135/H135*10)</f>
        <v>50.5050505050505</v>
      </c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customFormat="false" ht="69" hidden="false" customHeight="true" outlineLevel="0" collapsed="false">
      <c r="A136" s="23" t="str">
        <f aca="false">TEXT(B136,"ddd")</f>
        <v>lö</v>
      </c>
      <c r="B136" s="24" t="n">
        <v>43694</v>
      </c>
      <c r="C136" s="25" t="s">
        <v>121</v>
      </c>
      <c r="D136" s="26" t="n">
        <v>2500</v>
      </c>
      <c r="E136" s="26" t="n">
        <v>1000</v>
      </c>
      <c r="F136" s="22" t="n">
        <f aca="false">(D136-E136)*0.22</f>
        <v>330</v>
      </c>
      <c r="G136" s="22" t="n">
        <f aca="false">(D136-E136)-F136</f>
        <v>1170</v>
      </c>
      <c r="H136" s="41" t="n">
        <v>203</v>
      </c>
      <c r="I136" s="47" t="n">
        <f aca="false">H136/10</f>
        <v>20.3</v>
      </c>
      <c r="J136" s="60" t="n">
        <f aca="false">IF(H136=0,0,E136/H136*10)</f>
        <v>49.2610837438424</v>
      </c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customFormat="false" ht="35.25" hidden="false" customHeight="true" outlineLevel="0" collapsed="false">
      <c r="A137" s="49"/>
      <c r="B137" s="50"/>
      <c r="C137" s="51" t="s">
        <v>80</v>
      </c>
      <c r="D137" s="52" t="n">
        <f aca="false">SUM(D130:D136)</f>
        <v>5000</v>
      </c>
      <c r="E137" s="52" t="n">
        <f aca="false">SUM(E130:E136)</f>
        <v>2000</v>
      </c>
      <c r="F137" s="52" t="n">
        <f aca="false">(D137-E137)*0.22</f>
        <v>660</v>
      </c>
      <c r="G137" s="52" t="n">
        <f aca="false">(D137-E137)-F137</f>
        <v>2340</v>
      </c>
      <c r="H137" s="55" t="n">
        <f aca="false">SUM(H130:H136)</f>
        <v>401</v>
      </c>
      <c r="I137" s="56" t="n">
        <f aca="false">H137/10</f>
        <v>40.1</v>
      </c>
      <c r="J137" s="57" t="n">
        <f aca="false">IF(H137=0,0,E137/H137*10)</f>
        <v>49.8753117206983</v>
      </c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customFormat="false" ht="69" hidden="false" customHeight="true" outlineLevel="0" collapsed="false">
      <c r="A138" s="23" t="str">
        <f aca="false">TEXT(B138,"ddd")</f>
        <v>sö</v>
      </c>
      <c r="B138" s="24" t="n">
        <v>43695</v>
      </c>
      <c r="C138" s="25" t="s">
        <v>123</v>
      </c>
      <c r="D138" s="26"/>
      <c r="E138" s="26"/>
      <c r="F138" s="22"/>
      <c r="H138" s="41" t="n">
        <v>51</v>
      </c>
      <c r="I138" s="47" t="n">
        <f aca="false">H138/10</f>
        <v>5.1</v>
      </c>
      <c r="J138" s="60" t="n">
        <f aca="false">IF(H138=0,0,E138/H138*10)</f>
        <v>0</v>
      </c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customFormat="false" ht="69" hidden="false" customHeight="true" outlineLevel="0" collapsed="false">
      <c r="A139" s="23" t="str">
        <f aca="false">TEXT(B139,"ddd")</f>
        <v>må</v>
      </c>
      <c r="B139" s="24" t="n">
        <v>43696</v>
      </c>
      <c r="C139" s="25" t="s">
        <v>26</v>
      </c>
      <c r="D139" s="26"/>
      <c r="E139" s="26"/>
      <c r="F139" s="22"/>
      <c r="H139" s="41"/>
      <c r="I139" s="47" t="n">
        <f aca="false">H139/10</f>
        <v>0</v>
      </c>
      <c r="J139" s="60" t="n">
        <f aca="false">IF(H139=0,0,E139/H139*10)</f>
        <v>0</v>
      </c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customFormat="false" ht="69" hidden="false" customHeight="true" outlineLevel="0" collapsed="false">
      <c r="A140" s="23" t="str">
        <f aca="false">TEXT(B140,"ddd")</f>
        <v>ti</v>
      </c>
      <c r="B140" s="24" t="n">
        <v>43697</v>
      </c>
      <c r="C140" s="25" t="s">
        <v>26</v>
      </c>
      <c r="D140" s="26"/>
      <c r="E140" s="26"/>
      <c r="F140" s="22"/>
      <c r="H140" s="41"/>
      <c r="I140" s="47" t="n">
        <f aca="false">H140/10</f>
        <v>0</v>
      </c>
      <c r="J140" s="60" t="n">
        <f aca="false">IF(H140=0,0,E140/H140*10)</f>
        <v>0</v>
      </c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customFormat="false" ht="69" hidden="false" customHeight="true" outlineLevel="0" collapsed="false">
      <c r="A141" s="23" t="str">
        <f aca="false">TEXT(B141,"ddd")</f>
        <v>on</v>
      </c>
      <c r="B141" s="24" t="n">
        <v>43698</v>
      </c>
      <c r="C141" s="25" t="s">
        <v>26</v>
      </c>
      <c r="D141" s="26"/>
      <c r="E141" s="26"/>
      <c r="F141" s="22"/>
      <c r="H141" s="41"/>
      <c r="I141" s="47" t="n">
        <f aca="false">H141/10</f>
        <v>0</v>
      </c>
      <c r="J141" s="60" t="n">
        <f aca="false">IF(H141=0,0,E141/H141*10)</f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customFormat="false" ht="69" hidden="false" customHeight="true" outlineLevel="0" collapsed="false">
      <c r="A142" s="23" t="str">
        <f aca="false">TEXT(B142,"ddd")</f>
        <v>to</v>
      </c>
      <c r="B142" s="24" t="n">
        <v>43699</v>
      </c>
      <c r="C142" s="25" t="s">
        <v>26</v>
      </c>
      <c r="D142" s="26"/>
      <c r="E142" s="26"/>
      <c r="F142" s="22"/>
      <c r="H142" s="41"/>
      <c r="I142" s="47" t="n">
        <f aca="false">H142/10</f>
        <v>0</v>
      </c>
      <c r="J142" s="60" t="n">
        <f aca="false">IF(H142=0,0,E142/H142*10)</f>
        <v>0</v>
      </c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customFormat="false" ht="69" hidden="false" customHeight="true" outlineLevel="0" collapsed="false">
      <c r="A143" s="23" t="str">
        <f aca="false">TEXT(B143,"ddd")</f>
        <v>fr</v>
      </c>
      <c r="B143" s="24" t="n">
        <v>43700</v>
      </c>
      <c r="C143" s="25" t="s">
        <v>26</v>
      </c>
      <c r="D143" s="26"/>
      <c r="E143" s="26"/>
      <c r="F143" s="22"/>
      <c r="H143" s="41"/>
      <c r="I143" s="47" t="n">
        <f aca="false">H143/10</f>
        <v>0</v>
      </c>
      <c r="J143" s="60" t="n">
        <f aca="false">IF(H143=0,0,E143/H143*10)</f>
        <v>0</v>
      </c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customFormat="false" ht="69" hidden="false" customHeight="true" outlineLevel="0" collapsed="false">
      <c r="A144" s="23" t="str">
        <f aca="false">TEXT(B144,"ddd")</f>
        <v>lö</v>
      </c>
      <c r="B144" s="24" t="n">
        <v>43701</v>
      </c>
      <c r="C144" s="25" t="s">
        <v>26</v>
      </c>
      <c r="D144" s="26"/>
      <c r="E144" s="26"/>
      <c r="F144" s="22"/>
      <c r="H144" s="41"/>
      <c r="I144" s="47" t="n">
        <f aca="false">H144/10</f>
        <v>0</v>
      </c>
      <c r="J144" s="60" t="n">
        <f aca="false">IF(H144=0,0,E144/H144*10)</f>
        <v>0</v>
      </c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customFormat="false" ht="35.25" hidden="false" customHeight="true" outlineLevel="0" collapsed="false">
      <c r="A145" s="49"/>
      <c r="B145" s="50"/>
      <c r="C145" s="51" t="s">
        <v>80</v>
      </c>
      <c r="D145" s="52" t="n">
        <f aca="false">SUM(D138:D144)</f>
        <v>0</v>
      </c>
      <c r="E145" s="52" t="n">
        <f aca="false">SUM(E138:E144)</f>
        <v>0</v>
      </c>
      <c r="F145" s="53" t="n">
        <f aca="false">SUM(F138:F144)</f>
        <v>0</v>
      </c>
      <c r="G145" s="54" t="n">
        <f aca="false">SUM(G138:G144)</f>
        <v>0</v>
      </c>
      <c r="H145" s="55" t="n">
        <f aca="false">SUM(H138:H144)</f>
        <v>51</v>
      </c>
      <c r="I145" s="56" t="n">
        <f aca="false">H145/10</f>
        <v>5.1</v>
      </c>
      <c r="J145" s="57" t="n">
        <f aca="false">IF(H145=0,0,E145/H145*10)</f>
        <v>0</v>
      </c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customFormat="false" ht="69" hidden="false" customHeight="true" outlineLevel="0" collapsed="false">
      <c r="A146" s="23" t="str">
        <f aca="false">TEXT(B146,"ddd")</f>
        <v>sö</v>
      </c>
      <c r="B146" s="24" t="n">
        <v>43702</v>
      </c>
      <c r="C146" s="25" t="s">
        <v>26</v>
      </c>
      <c r="D146" s="26"/>
      <c r="E146" s="26"/>
      <c r="F146" s="22"/>
      <c r="H146" s="41"/>
      <c r="I146" s="47" t="n">
        <f aca="false">H146/10</f>
        <v>0</v>
      </c>
      <c r="J146" s="60" t="n">
        <f aca="false">IF(H146=0,0,E146/H146*10)</f>
        <v>0</v>
      </c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customFormat="false" ht="69" hidden="false" customHeight="true" outlineLevel="0" collapsed="false">
      <c r="A147" s="23" t="str">
        <f aca="false">TEXT(B147,"ddd")</f>
        <v>må</v>
      </c>
      <c r="B147" s="24" t="n">
        <v>43703</v>
      </c>
      <c r="C147" s="25" t="s">
        <v>26</v>
      </c>
      <c r="D147" s="26"/>
      <c r="E147" s="26"/>
      <c r="F147" s="22"/>
      <c r="H147" s="41"/>
      <c r="I147" s="47" t="n">
        <f aca="false">H147/10</f>
        <v>0</v>
      </c>
      <c r="J147" s="60" t="n">
        <f aca="false">IF(H147=0,0,E147/H147*10)</f>
        <v>0</v>
      </c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customFormat="false" ht="69" hidden="false" customHeight="true" outlineLevel="0" collapsed="false">
      <c r="A148" s="23" t="str">
        <f aca="false">TEXT(B148,"ddd")</f>
        <v>ti</v>
      </c>
      <c r="B148" s="24" t="n">
        <v>43704</v>
      </c>
      <c r="C148" s="25" t="s">
        <v>26</v>
      </c>
      <c r="D148" s="26"/>
      <c r="E148" s="26"/>
      <c r="F148" s="22"/>
      <c r="H148" s="41"/>
      <c r="I148" s="47" t="n">
        <f aca="false">H148/10</f>
        <v>0</v>
      </c>
      <c r="J148" s="60" t="n">
        <f aca="false">IF(H148=0,0,E148/H148*10)</f>
        <v>0</v>
      </c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customFormat="false" ht="69" hidden="false" customHeight="true" outlineLevel="0" collapsed="false">
      <c r="A149" s="23" t="str">
        <f aca="false">TEXT(B149,"ddd")</f>
        <v>on</v>
      </c>
      <c r="B149" s="24" t="n">
        <v>43705</v>
      </c>
      <c r="C149" s="25" t="s">
        <v>124</v>
      </c>
      <c r="D149" s="26"/>
      <c r="E149" s="26"/>
      <c r="F149" s="22"/>
      <c r="H149" s="41" t="n">
        <v>16</v>
      </c>
      <c r="I149" s="47" t="n">
        <f aca="false">H149/10</f>
        <v>1.6</v>
      </c>
      <c r="J149" s="60" t="n">
        <f aca="false">IF(H149=0,0,E149/H149*10)</f>
        <v>0</v>
      </c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customFormat="false" ht="69" hidden="false" customHeight="true" outlineLevel="0" collapsed="false">
      <c r="A150" s="23" t="str">
        <f aca="false">TEXT(B150,"ddd")</f>
        <v>to</v>
      </c>
      <c r="B150" s="24" t="n">
        <v>43706</v>
      </c>
      <c r="C150" s="25" t="s">
        <v>26</v>
      </c>
      <c r="D150" s="26"/>
      <c r="E150" s="26"/>
      <c r="F150" s="22"/>
      <c r="H150" s="41"/>
      <c r="I150" s="47" t="n">
        <f aca="false">H150/10</f>
        <v>0</v>
      </c>
      <c r="J150" s="60" t="n">
        <f aca="false">IF(H150=0,0,E150/H150*10)</f>
        <v>0</v>
      </c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customFormat="false" ht="69" hidden="false" customHeight="true" outlineLevel="0" collapsed="false">
      <c r="A151" s="23" t="str">
        <f aca="false">TEXT(B151,"ddd")</f>
        <v>fr</v>
      </c>
      <c r="B151" s="24" t="n">
        <v>43707</v>
      </c>
      <c r="C151" s="25" t="s">
        <v>26</v>
      </c>
      <c r="D151" s="26"/>
      <c r="E151" s="26"/>
      <c r="F151" s="22"/>
      <c r="H151" s="41"/>
      <c r="I151" s="47" t="n">
        <f aca="false">H151/10</f>
        <v>0</v>
      </c>
      <c r="J151" s="60" t="n">
        <f aca="false">IF(H151=0,0,E151/H151*10)</f>
        <v>0</v>
      </c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customFormat="false" ht="69" hidden="false" customHeight="true" outlineLevel="0" collapsed="false">
      <c r="A152" s="23" t="str">
        <f aca="false">TEXT(B152,"ddd")</f>
        <v>lö</v>
      </c>
      <c r="B152" s="24" t="n">
        <v>43708</v>
      </c>
      <c r="C152" s="25" t="s">
        <v>26</v>
      </c>
      <c r="D152" s="26"/>
      <c r="E152" s="26"/>
      <c r="F152" s="22"/>
      <c r="H152" s="41"/>
      <c r="I152" s="47" t="n">
        <f aca="false">H152/10</f>
        <v>0</v>
      </c>
      <c r="J152" s="60" t="n">
        <f aca="false">IF(H152=0,0,E152/H152*10)</f>
        <v>0</v>
      </c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customFormat="false" ht="35.25" hidden="false" customHeight="true" outlineLevel="0" collapsed="false">
      <c r="A153" s="49"/>
      <c r="B153" s="50"/>
      <c r="C153" s="51" t="s">
        <v>80</v>
      </c>
      <c r="D153" s="52" t="n">
        <f aca="false">SUM(D146:D152)</f>
        <v>0</v>
      </c>
      <c r="E153" s="52" t="n">
        <f aca="false">SUM(E146:E152)</f>
        <v>0</v>
      </c>
      <c r="F153" s="53" t="n">
        <f aca="false">SUM(F146:F152)</f>
        <v>0</v>
      </c>
      <c r="G153" s="54" t="n">
        <f aca="false">SUM(G146:G152)</f>
        <v>0</v>
      </c>
      <c r="H153" s="55" t="n">
        <f aca="false">SUM(H146:H152)</f>
        <v>16</v>
      </c>
      <c r="I153" s="56" t="n">
        <f aca="false">H153/10</f>
        <v>1.6</v>
      </c>
      <c r="J153" s="57" t="n">
        <f aca="false">IF(H153=0,0,E153/H153*10)</f>
        <v>0</v>
      </c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customFormat="false" ht="69" hidden="false" customHeight="true" outlineLevel="0" collapsed="false">
      <c r="A154" s="23" t="str">
        <f aca="false">TEXT(B154,"ddd")</f>
        <v>sö</v>
      </c>
      <c r="B154" s="24" t="n">
        <v>43709</v>
      </c>
      <c r="C154" s="25" t="s">
        <v>125</v>
      </c>
      <c r="D154" s="26"/>
      <c r="E154" s="26"/>
      <c r="F154" s="22"/>
      <c r="H154" s="41" t="n">
        <v>103</v>
      </c>
      <c r="I154" s="47" t="n">
        <f aca="false">H154/10</f>
        <v>10.3</v>
      </c>
      <c r="J154" s="60" t="n">
        <f aca="false">IF(H154=0,0,E154/H154*10)</f>
        <v>0</v>
      </c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customFormat="false" ht="69" hidden="false" customHeight="true" outlineLevel="0" collapsed="false">
      <c r="A155" s="23" t="str">
        <f aca="false">TEXT(B155,"ddd")</f>
        <v>må</v>
      </c>
      <c r="B155" s="24" t="n">
        <v>43710</v>
      </c>
      <c r="C155" s="25" t="s">
        <v>26</v>
      </c>
      <c r="D155" s="26"/>
      <c r="E155" s="26"/>
      <c r="F155" s="22"/>
      <c r="H155" s="41"/>
      <c r="I155" s="47" t="n">
        <f aca="false">H155/10</f>
        <v>0</v>
      </c>
      <c r="J155" s="60" t="n">
        <f aca="false">IF(H155=0,0,E155/H155*10)</f>
        <v>0</v>
      </c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customFormat="false" ht="69" hidden="false" customHeight="true" outlineLevel="0" collapsed="false">
      <c r="A156" s="23" t="str">
        <f aca="false">TEXT(B156,"ddd")</f>
        <v>ti</v>
      </c>
      <c r="B156" s="24" t="n">
        <v>43711</v>
      </c>
      <c r="C156" s="25" t="s">
        <v>126</v>
      </c>
      <c r="D156" s="26"/>
      <c r="E156" s="26"/>
      <c r="F156" s="22"/>
      <c r="H156" s="41" t="n">
        <v>6</v>
      </c>
      <c r="I156" s="47" t="n">
        <f aca="false">H156/10</f>
        <v>0.6</v>
      </c>
      <c r="J156" s="60" t="n">
        <f aca="false">IF(H156=0,0,E156/H156*10)</f>
        <v>0</v>
      </c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customFormat="false" ht="69" hidden="false" customHeight="true" outlineLevel="0" collapsed="false">
      <c r="A157" s="23" t="str">
        <f aca="false">TEXT(B157,"ddd")</f>
        <v>on</v>
      </c>
      <c r="B157" s="24" t="n">
        <v>43712</v>
      </c>
      <c r="C157" s="25" t="s">
        <v>127</v>
      </c>
      <c r="D157" s="26"/>
      <c r="E157" s="26"/>
      <c r="F157" s="22"/>
      <c r="H157" s="41" t="n">
        <v>4</v>
      </c>
      <c r="I157" s="47" t="n">
        <f aca="false">H157/10</f>
        <v>0.4</v>
      </c>
      <c r="J157" s="60" t="n">
        <f aca="false">IF(H157=0,0,E157/H157*10)</f>
        <v>0</v>
      </c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customFormat="false" ht="69" hidden="false" customHeight="true" outlineLevel="0" collapsed="false">
      <c r="A158" s="23" t="str">
        <f aca="false">TEXT(B158,"ddd")</f>
        <v>to</v>
      </c>
      <c r="B158" s="24" t="n">
        <v>43713</v>
      </c>
      <c r="C158" s="25" t="s">
        <v>26</v>
      </c>
      <c r="D158" s="26"/>
      <c r="E158" s="26"/>
      <c r="F158" s="22"/>
      <c r="H158" s="41"/>
      <c r="I158" s="47" t="n">
        <f aca="false">H158/10</f>
        <v>0</v>
      </c>
      <c r="J158" s="60" t="n">
        <f aca="false">IF(H158=0,0,E158/H158*10)</f>
        <v>0</v>
      </c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customFormat="false" ht="69" hidden="false" customHeight="true" outlineLevel="0" collapsed="false">
      <c r="A159" s="23" t="str">
        <f aca="false">TEXT(B159,"ddd")</f>
        <v>fr</v>
      </c>
      <c r="B159" s="24" t="n">
        <v>43714</v>
      </c>
      <c r="C159" s="25" t="s">
        <v>128</v>
      </c>
      <c r="D159" s="26"/>
      <c r="E159" s="26"/>
      <c r="F159" s="22"/>
      <c r="H159" s="41" t="n">
        <v>12</v>
      </c>
      <c r="I159" s="47" t="n">
        <f aca="false">H159/10</f>
        <v>1.2</v>
      </c>
      <c r="J159" s="60" t="n">
        <f aca="false">IF(H159=0,0,E159/H159*10)</f>
        <v>0</v>
      </c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customFormat="false" ht="69" hidden="false" customHeight="true" outlineLevel="0" collapsed="false">
      <c r="A160" s="23" t="str">
        <f aca="false">TEXT(B160,"ddd")</f>
        <v>lö</v>
      </c>
      <c r="B160" s="24" t="n">
        <v>43715</v>
      </c>
      <c r="C160" s="25" t="s">
        <v>26</v>
      </c>
      <c r="D160" s="26"/>
      <c r="E160" s="26"/>
      <c r="F160" s="22"/>
      <c r="H160" s="41"/>
      <c r="I160" s="47" t="n">
        <f aca="false">H160/10</f>
        <v>0</v>
      </c>
      <c r="J160" s="60" t="n">
        <f aca="false">IF(H160=0,0,E160/H160*10)</f>
        <v>0</v>
      </c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customFormat="false" ht="35.25" hidden="false" customHeight="true" outlineLevel="0" collapsed="false">
      <c r="A161" s="49"/>
      <c r="B161" s="50"/>
      <c r="C161" s="51" t="s">
        <v>80</v>
      </c>
      <c r="D161" s="52" t="n">
        <f aca="false">SUM(D154:D160)</f>
        <v>0</v>
      </c>
      <c r="E161" s="52" t="n">
        <f aca="false">SUM(E154:E160)</f>
        <v>0</v>
      </c>
      <c r="F161" s="53" t="n">
        <f aca="false">SUM(F154:F160)</f>
        <v>0</v>
      </c>
      <c r="G161" s="54" t="n">
        <f aca="false">SUM(G154:G160)</f>
        <v>0</v>
      </c>
      <c r="H161" s="55" t="n">
        <f aca="false">SUM(H154:H160)</f>
        <v>125</v>
      </c>
      <c r="I161" s="56" t="n">
        <f aca="false">H161/10</f>
        <v>12.5</v>
      </c>
      <c r="J161" s="57" t="n">
        <f aca="false">IF(H161=0,0,E161/H161*10)</f>
        <v>0</v>
      </c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customFormat="false" ht="69" hidden="false" customHeight="true" outlineLevel="0" collapsed="false">
      <c r="A162" s="23" t="str">
        <f aca="false">TEXT(B162,"ddd")</f>
        <v>sö</v>
      </c>
      <c r="B162" s="24" t="n">
        <v>43716</v>
      </c>
      <c r="C162" s="25" t="s">
        <v>129</v>
      </c>
      <c r="D162" s="26"/>
      <c r="E162" s="26"/>
      <c r="F162" s="22"/>
      <c r="G162" s="3" t="n">
        <v>1400</v>
      </c>
      <c r="H162" s="41" t="n">
        <v>240</v>
      </c>
      <c r="I162" s="47" t="n">
        <f aca="false">H162/10</f>
        <v>24</v>
      </c>
      <c r="J162" s="60" t="n">
        <f aca="false">IF(H162=0,0,E162/H162*10)</f>
        <v>0</v>
      </c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customFormat="false" ht="69" hidden="false" customHeight="true" outlineLevel="0" collapsed="false">
      <c r="A163" s="23" t="str">
        <f aca="false">TEXT(B163,"ddd")</f>
        <v>må</v>
      </c>
      <c r="B163" s="24" t="n">
        <v>43717</v>
      </c>
      <c r="C163" s="25" t="s">
        <v>26</v>
      </c>
      <c r="D163" s="26"/>
      <c r="E163" s="26"/>
      <c r="F163" s="22"/>
      <c r="H163" s="41"/>
      <c r="I163" s="47" t="n">
        <f aca="false">H163/10</f>
        <v>0</v>
      </c>
      <c r="J163" s="60" t="n">
        <f aca="false">IF(H163=0,0,E163/H163*10)</f>
        <v>0</v>
      </c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customFormat="false" ht="69" hidden="false" customHeight="true" outlineLevel="0" collapsed="false">
      <c r="A164" s="23" t="str">
        <f aca="false">TEXT(B164,"ddd")</f>
        <v>ti</v>
      </c>
      <c r="B164" s="24" t="n">
        <v>43718</v>
      </c>
      <c r="C164" s="25" t="s">
        <v>26</v>
      </c>
      <c r="D164" s="26"/>
      <c r="E164" s="26"/>
      <c r="F164" s="22"/>
      <c r="H164" s="41"/>
      <c r="I164" s="47" t="n">
        <f aca="false">H164/10</f>
        <v>0</v>
      </c>
      <c r="J164" s="60" t="n">
        <f aca="false">IF(H164=0,0,E164/H164*10)</f>
        <v>0</v>
      </c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customFormat="false" ht="69" hidden="false" customHeight="true" outlineLevel="0" collapsed="false">
      <c r="A165" s="23" t="str">
        <f aca="false">TEXT(B165,"ddd")</f>
        <v>on</v>
      </c>
      <c r="B165" s="24" t="n">
        <v>43719</v>
      </c>
      <c r="C165" s="25" t="s">
        <v>26</v>
      </c>
      <c r="D165" s="26"/>
      <c r="E165" s="26"/>
      <c r="F165" s="22"/>
      <c r="H165" s="41"/>
      <c r="I165" s="47" t="n">
        <f aca="false">H165/10</f>
        <v>0</v>
      </c>
      <c r="J165" s="60" t="n">
        <f aca="false">IF(H165=0,0,E165/H165*10)</f>
        <v>0</v>
      </c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customFormat="false" ht="69" hidden="false" customHeight="true" outlineLevel="0" collapsed="false">
      <c r="A166" s="23" t="str">
        <f aca="false">TEXT(B166,"ddd")</f>
        <v>to</v>
      </c>
      <c r="B166" s="24" t="n">
        <v>43720</v>
      </c>
      <c r="C166" s="25" t="s">
        <v>26</v>
      </c>
      <c r="D166" s="26"/>
      <c r="E166" s="26"/>
      <c r="F166" s="22"/>
      <c r="H166" s="41"/>
      <c r="I166" s="47" t="n">
        <f aca="false">H166/10</f>
        <v>0</v>
      </c>
      <c r="J166" s="60" t="n">
        <f aca="false">IF(H166=0,0,E166/H166*10)</f>
        <v>0</v>
      </c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customFormat="false" ht="69" hidden="false" customHeight="true" outlineLevel="0" collapsed="false">
      <c r="A167" s="23" t="str">
        <f aca="false">TEXT(B167,"ddd")</f>
        <v>fr</v>
      </c>
      <c r="B167" s="24" t="n">
        <v>43721</v>
      </c>
      <c r="C167" s="25" t="s">
        <v>26</v>
      </c>
      <c r="D167" s="26"/>
      <c r="E167" s="26"/>
      <c r="F167" s="22"/>
      <c r="H167" s="41"/>
      <c r="I167" s="47" t="n">
        <f aca="false">H167/10</f>
        <v>0</v>
      </c>
      <c r="J167" s="60" t="n">
        <f aca="false">IF(H167=0,0,E167/H167*10)</f>
        <v>0</v>
      </c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customFormat="false" ht="69" hidden="false" customHeight="true" outlineLevel="0" collapsed="false">
      <c r="A168" s="23" t="str">
        <f aca="false">TEXT(B168,"ddd")</f>
        <v>lö</v>
      </c>
      <c r="B168" s="24" t="n">
        <v>43722</v>
      </c>
      <c r="C168" s="25" t="s">
        <v>26</v>
      </c>
      <c r="D168" s="26"/>
      <c r="E168" s="26"/>
      <c r="F168" s="22"/>
      <c r="H168" s="41"/>
      <c r="I168" s="47" t="n">
        <f aca="false">H168/10</f>
        <v>0</v>
      </c>
      <c r="J168" s="60" t="n">
        <f aca="false">IF(H168=0,0,E168/H168*10)</f>
        <v>0</v>
      </c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customFormat="false" ht="35.25" hidden="false" customHeight="true" outlineLevel="0" collapsed="false">
      <c r="A169" s="49"/>
      <c r="B169" s="50"/>
      <c r="C169" s="51" t="s">
        <v>80</v>
      </c>
      <c r="D169" s="52" t="n">
        <f aca="false">SUM(D162:D168)</f>
        <v>0</v>
      </c>
      <c r="E169" s="52" t="n">
        <f aca="false">SUM(E162:E168)</f>
        <v>0</v>
      </c>
      <c r="F169" s="53" t="n">
        <f aca="false">SUM(F162:F168)</f>
        <v>0</v>
      </c>
      <c r="G169" s="54" t="n">
        <f aca="false">SUM(G162:G168)</f>
        <v>1400</v>
      </c>
      <c r="H169" s="55" t="n">
        <f aca="false">SUM(H162:H168)</f>
        <v>240</v>
      </c>
      <c r="I169" s="56" t="n">
        <f aca="false">H169/10</f>
        <v>24</v>
      </c>
      <c r="J169" s="57" t="n">
        <f aca="false">IF(H169=0,0,E169/H169*10)</f>
        <v>0</v>
      </c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customFormat="false" ht="69" hidden="false" customHeight="true" outlineLevel="0" collapsed="false">
      <c r="A170" s="23" t="str">
        <f aca="false">TEXT(B170,"ddd")</f>
        <v>sö</v>
      </c>
      <c r="B170" s="24" t="n">
        <v>43723</v>
      </c>
      <c r="C170" s="25" t="s">
        <v>26</v>
      </c>
      <c r="D170" s="26"/>
      <c r="E170" s="26"/>
      <c r="F170" s="22"/>
      <c r="H170" s="41"/>
      <c r="I170" s="47" t="n">
        <f aca="false">H170/10</f>
        <v>0</v>
      </c>
      <c r="J170" s="60" t="n">
        <f aca="false">IF(H170=0,0,E170/H170*10)</f>
        <v>0</v>
      </c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customFormat="false" ht="69" hidden="false" customHeight="true" outlineLevel="0" collapsed="false">
      <c r="A171" s="23" t="str">
        <f aca="false">TEXT(B171,"ddd")</f>
        <v>må</v>
      </c>
      <c r="B171" s="24" t="n">
        <v>43724</v>
      </c>
      <c r="C171" s="25" t="s">
        <v>26</v>
      </c>
      <c r="D171" s="26"/>
      <c r="E171" s="26"/>
      <c r="F171" s="22"/>
      <c r="H171" s="41"/>
      <c r="I171" s="47" t="n">
        <f aca="false">H171/10</f>
        <v>0</v>
      </c>
      <c r="J171" s="60" t="n">
        <f aca="false">IF(H171=0,0,E171/H171*10)</f>
        <v>0</v>
      </c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customFormat="false" ht="69" hidden="false" customHeight="true" outlineLevel="0" collapsed="false">
      <c r="A172" s="23" t="str">
        <f aca="false">TEXT(B172,"ddd")</f>
        <v>ti</v>
      </c>
      <c r="B172" s="24" t="n">
        <v>43725</v>
      </c>
      <c r="C172" s="25" t="s">
        <v>26</v>
      </c>
      <c r="D172" s="26"/>
      <c r="E172" s="26"/>
      <c r="F172" s="22"/>
      <c r="H172" s="41"/>
      <c r="I172" s="47" t="n">
        <f aca="false">H172/10</f>
        <v>0</v>
      </c>
      <c r="J172" s="60" t="n">
        <f aca="false">IF(H172=0,0,E172/H172*10)</f>
        <v>0</v>
      </c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customFormat="false" ht="69" hidden="false" customHeight="true" outlineLevel="0" collapsed="false">
      <c r="A173" s="23" t="str">
        <f aca="false">TEXT(B173,"ddd")</f>
        <v>on</v>
      </c>
      <c r="B173" s="24" t="n">
        <v>43726</v>
      </c>
      <c r="C173" s="25" t="s">
        <v>130</v>
      </c>
      <c r="D173" s="26" t="n">
        <v>7500</v>
      </c>
      <c r="E173" s="26" t="n">
        <v>2000</v>
      </c>
      <c r="F173" s="22" t="n">
        <v>500</v>
      </c>
      <c r="G173" s="3" t="n">
        <v>5000</v>
      </c>
      <c r="H173" s="41" t="n">
        <v>375</v>
      </c>
      <c r="I173" s="47" t="n">
        <f aca="false">H173/10</f>
        <v>37.5</v>
      </c>
      <c r="J173" s="60" t="n">
        <f aca="false">IF(H173=0,0,E173/H173*10)</f>
        <v>53.3333333333333</v>
      </c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customFormat="false" ht="69" hidden="false" customHeight="true" outlineLevel="0" collapsed="false">
      <c r="A174" s="23" t="str">
        <f aca="false">TEXT(B174,"ddd")</f>
        <v>to</v>
      </c>
      <c r="B174" s="24" t="n">
        <v>43727</v>
      </c>
      <c r="C174" s="25" t="s">
        <v>26</v>
      </c>
      <c r="D174" s="26"/>
      <c r="E174" s="26"/>
      <c r="F174" s="22"/>
      <c r="H174" s="41"/>
      <c r="I174" s="47" t="n">
        <f aca="false">H174/10</f>
        <v>0</v>
      </c>
      <c r="J174" s="60" t="n">
        <f aca="false">IF(H174=0,0,E174/H174*10)</f>
        <v>0</v>
      </c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customFormat="false" ht="69" hidden="false" customHeight="true" outlineLevel="0" collapsed="false">
      <c r="A175" s="23" t="str">
        <f aca="false">TEXT(B175,"ddd")</f>
        <v>fr</v>
      </c>
      <c r="B175" s="24" t="n">
        <v>43728</v>
      </c>
      <c r="C175" s="25" t="s">
        <v>26</v>
      </c>
      <c r="D175" s="26"/>
      <c r="E175" s="26"/>
      <c r="F175" s="22"/>
      <c r="H175" s="41"/>
      <c r="I175" s="47" t="n">
        <f aca="false">H175/10</f>
        <v>0</v>
      </c>
      <c r="J175" s="60" t="n">
        <f aca="false">IF(H175=0,0,E175/H175*10)</f>
        <v>0</v>
      </c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customFormat="false" ht="69" hidden="false" customHeight="true" outlineLevel="0" collapsed="false">
      <c r="A176" s="23" t="str">
        <f aca="false">TEXT(B176,"ddd")</f>
        <v>lö</v>
      </c>
      <c r="B176" s="24" t="n">
        <v>43729</v>
      </c>
      <c r="C176" s="25" t="s">
        <v>26</v>
      </c>
      <c r="D176" s="26"/>
      <c r="E176" s="26"/>
      <c r="F176" s="22"/>
      <c r="H176" s="41"/>
      <c r="I176" s="47" t="n">
        <f aca="false">H176/10</f>
        <v>0</v>
      </c>
      <c r="J176" s="60" t="n">
        <f aca="false">IF(H176=0,0,E176/H176*10)</f>
        <v>0</v>
      </c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customFormat="false" ht="35.25" hidden="false" customHeight="true" outlineLevel="0" collapsed="false">
      <c r="A177" s="49"/>
      <c r="B177" s="50"/>
      <c r="C177" s="51" t="s">
        <v>80</v>
      </c>
      <c r="D177" s="52" t="n">
        <f aca="false">SUM(D170:D176)</f>
        <v>7500</v>
      </c>
      <c r="E177" s="52" t="n">
        <f aca="false">SUM(E170:E176)</f>
        <v>2000</v>
      </c>
      <c r="F177" s="53" t="n">
        <f aca="false">SUM(F170:F176)</f>
        <v>500</v>
      </c>
      <c r="G177" s="54" t="n">
        <f aca="false">SUM(G170:G176)</f>
        <v>5000</v>
      </c>
      <c r="H177" s="55" t="n">
        <f aca="false">SUM(H170:H176)</f>
        <v>375</v>
      </c>
      <c r="I177" s="56" t="n">
        <f aca="false">H177/10</f>
        <v>37.5</v>
      </c>
      <c r="J177" s="57" t="n">
        <f aca="false">IF(H177=0,0,E177/H177*10)</f>
        <v>53.3333333333333</v>
      </c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customFormat="false" ht="69" hidden="false" customHeight="true" outlineLevel="0" collapsed="false">
      <c r="A178" s="23" t="str">
        <f aca="false">TEXT(B178,"ddd")</f>
        <v>sö</v>
      </c>
      <c r="B178" s="24" t="n">
        <v>43730</v>
      </c>
      <c r="C178" s="25" t="s">
        <v>26</v>
      </c>
      <c r="D178" s="26"/>
      <c r="E178" s="26"/>
      <c r="F178" s="22"/>
      <c r="H178" s="41"/>
      <c r="I178" s="47" t="n">
        <f aca="false">H178/10</f>
        <v>0</v>
      </c>
      <c r="J178" s="60" t="n">
        <f aca="false">IF(H178=0,0,E178/H178*10)</f>
        <v>0</v>
      </c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customFormat="false" ht="69" hidden="false" customHeight="true" outlineLevel="0" collapsed="false">
      <c r="A179" s="23" t="str">
        <f aca="false">TEXT(B179,"ddd")</f>
        <v>må</v>
      </c>
      <c r="B179" s="24" t="n">
        <v>43731</v>
      </c>
      <c r="C179" s="25" t="s">
        <v>26</v>
      </c>
      <c r="D179" s="26"/>
      <c r="E179" s="26"/>
      <c r="F179" s="22"/>
      <c r="H179" s="41"/>
      <c r="I179" s="47" t="n">
        <f aca="false">H179/10</f>
        <v>0</v>
      </c>
      <c r="J179" s="60" t="n">
        <f aca="false">IF(H179=0,0,E179/H179*10)</f>
        <v>0</v>
      </c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customFormat="false" ht="69" hidden="false" customHeight="true" outlineLevel="0" collapsed="false">
      <c r="A180" s="23" t="str">
        <f aca="false">TEXT(B180,"ddd")</f>
        <v>ti</v>
      </c>
      <c r="B180" s="24" t="n">
        <v>43732</v>
      </c>
      <c r="C180" s="25" t="s">
        <v>26</v>
      </c>
      <c r="D180" s="26"/>
      <c r="E180" s="26"/>
      <c r="F180" s="22"/>
      <c r="H180" s="41"/>
      <c r="I180" s="47" t="n">
        <f aca="false">H180/10</f>
        <v>0</v>
      </c>
      <c r="J180" s="60" t="n">
        <f aca="false">IF(H180=0,0,E180/H180*10)</f>
        <v>0</v>
      </c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customFormat="false" ht="69" hidden="false" customHeight="true" outlineLevel="0" collapsed="false">
      <c r="A181" s="23" t="str">
        <f aca="false">TEXT(B181,"ddd")</f>
        <v>on</v>
      </c>
      <c r="B181" s="24" t="n">
        <v>43733</v>
      </c>
      <c r="C181" s="25" t="s">
        <v>26</v>
      </c>
      <c r="D181" s="26"/>
      <c r="E181" s="26"/>
      <c r="F181" s="22"/>
      <c r="H181" s="41"/>
      <c r="I181" s="47" t="n">
        <f aca="false">H181/10</f>
        <v>0</v>
      </c>
      <c r="J181" s="60" t="n">
        <f aca="false">IF(H181=0,0,E181/H181*10)</f>
        <v>0</v>
      </c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customFormat="false" ht="69" hidden="false" customHeight="true" outlineLevel="0" collapsed="false">
      <c r="A182" s="23" t="str">
        <f aca="false">TEXT(B182,"ddd")</f>
        <v>to</v>
      </c>
      <c r="B182" s="24" t="n">
        <v>43734</v>
      </c>
      <c r="C182" s="25" t="s">
        <v>26</v>
      </c>
      <c r="D182" s="26"/>
      <c r="E182" s="26"/>
      <c r="F182" s="22"/>
      <c r="H182" s="41"/>
      <c r="I182" s="47" t="n">
        <f aca="false">H182/10</f>
        <v>0</v>
      </c>
      <c r="J182" s="60" t="n">
        <f aca="false">IF(H182=0,0,E182/H182*10)</f>
        <v>0</v>
      </c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customFormat="false" ht="69" hidden="false" customHeight="true" outlineLevel="0" collapsed="false">
      <c r="A183" s="23" t="str">
        <f aca="false">TEXT(B183,"ddd")</f>
        <v>fr</v>
      </c>
      <c r="B183" s="24" t="n">
        <v>43735</v>
      </c>
      <c r="C183" s="25" t="s">
        <v>26</v>
      </c>
      <c r="D183" s="26"/>
      <c r="E183" s="26"/>
      <c r="F183" s="22"/>
      <c r="H183" s="41"/>
      <c r="I183" s="47" t="n">
        <f aca="false">H183/10</f>
        <v>0</v>
      </c>
      <c r="J183" s="60" t="n">
        <f aca="false">IF(H183=0,0,E183/H183*10)</f>
        <v>0</v>
      </c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customFormat="false" ht="69" hidden="false" customHeight="true" outlineLevel="0" collapsed="false">
      <c r="A184" s="23" t="str">
        <f aca="false">TEXT(B184,"ddd")</f>
        <v>lö</v>
      </c>
      <c r="B184" s="24" t="n">
        <v>43736</v>
      </c>
      <c r="C184" s="25" t="s">
        <v>131</v>
      </c>
      <c r="D184" s="26" t="n">
        <v>4000</v>
      </c>
      <c r="E184" s="26" t="n">
        <v>1300</v>
      </c>
      <c r="F184" s="22" t="n">
        <v>594</v>
      </c>
      <c r="G184" s="22" t="n">
        <v>2106</v>
      </c>
      <c r="H184" s="41" t="n">
        <v>205</v>
      </c>
      <c r="I184" s="47" t="n">
        <f aca="false">H184/10</f>
        <v>20.5</v>
      </c>
      <c r="J184" s="60" t="n">
        <f aca="false">IF(H184=0,0,E184/H184*10)</f>
        <v>63.4146341463415</v>
      </c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customFormat="false" ht="35.25" hidden="false" customHeight="true" outlineLevel="0" collapsed="false">
      <c r="A185" s="49"/>
      <c r="B185" s="50"/>
      <c r="C185" s="51" t="s">
        <v>80</v>
      </c>
      <c r="D185" s="52" t="n">
        <f aca="false">SUM(D178:D184)</f>
        <v>4000</v>
      </c>
      <c r="E185" s="52" t="n">
        <f aca="false">SUM(E178:E184)</f>
        <v>1300</v>
      </c>
      <c r="F185" s="53" t="n">
        <f aca="false">SUM(F178:F184)</f>
        <v>594</v>
      </c>
      <c r="G185" s="54" t="n">
        <f aca="false">SUM(G178:G184)</f>
        <v>2106</v>
      </c>
      <c r="H185" s="55" t="n">
        <v>196</v>
      </c>
      <c r="I185" s="56" t="n">
        <f aca="false">H185/10</f>
        <v>19.6</v>
      </c>
      <c r="J185" s="57" t="n">
        <f aca="false">IF(H185=0,0,E185/H185*10)</f>
        <v>66.3265306122449</v>
      </c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customFormat="false" ht="69" hidden="false" customHeight="true" outlineLevel="0" collapsed="false">
      <c r="A186" s="23" t="str">
        <f aca="false">TEXT(B186,"ddd")</f>
        <v>sö</v>
      </c>
      <c r="B186" s="24" t="n">
        <v>43737</v>
      </c>
      <c r="C186" s="25" t="s">
        <v>132</v>
      </c>
      <c r="D186" s="26"/>
      <c r="E186" s="26"/>
      <c r="F186" s="61" t="s">
        <v>133</v>
      </c>
      <c r="H186" s="41" t="n">
        <v>37</v>
      </c>
      <c r="I186" s="47" t="n">
        <f aca="false">H186/10</f>
        <v>3.7</v>
      </c>
      <c r="J186" s="60" t="n">
        <f aca="false">IF(H186=0,0,E186/H186*10)</f>
        <v>0</v>
      </c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customFormat="false" ht="69" hidden="false" customHeight="true" outlineLevel="0" collapsed="false">
      <c r="A187" s="23" t="str">
        <f aca="false">TEXT(B187,"ddd")</f>
        <v>må</v>
      </c>
      <c r="B187" s="24" t="n">
        <v>43738</v>
      </c>
      <c r="C187" s="25"/>
      <c r="D187" s="26"/>
      <c r="E187" s="26"/>
      <c r="F187" s="22"/>
      <c r="H187" s="41"/>
      <c r="I187" s="47" t="n">
        <f aca="false">H187/10</f>
        <v>0</v>
      </c>
      <c r="J187" s="60" t="n">
        <f aca="false">IF(H187=0,0,E187/H187*10)</f>
        <v>0</v>
      </c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customFormat="false" ht="69" hidden="false" customHeight="true" outlineLevel="0" collapsed="false">
      <c r="A188" s="23" t="str">
        <f aca="false">TEXT(B188,"ddd")</f>
        <v>ti</v>
      </c>
      <c r="B188" s="24" t="n">
        <v>43739</v>
      </c>
      <c r="C188" s="25"/>
      <c r="D188" s="26"/>
      <c r="E188" s="26"/>
      <c r="F188" s="22"/>
      <c r="H188" s="41"/>
      <c r="I188" s="47" t="n">
        <f aca="false">H188/10</f>
        <v>0</v>
      </c>
      <c r="J188" s="60" t="n">
        <f aca="false">IF(H188=0,0,E188/H188*10)</f>
        <v>0</v>
      </c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customFormat="false" ht="69" hidden="false" customHeight="true" outlineLevel="0" collapsed="false">
      <c r="A189" s="23" t="str">
        <f aca="false">TEXT(B189,"ddd")</f>
        <v>on</v>
      </c>
      <c r="B189" s="24" t="n">
        <v>43740</v>
      </c>
      <c r="C189" s="25"/>
      <c r="D189" s="26"/>
      <c r="E189" s="26"/>
      <c r="F189" s="22"/>
      <c r="H189" s="41"/>
      <c r="I189" s="47" t="n">
        <f aca="false">H189/10</f>
        <v>0</v>
      </c>
      <c r="J189" s="60" t="n">
        <f aca="false">IF(H189=0,0,E189/H189*10)</f>
        <v>0</v>
      </c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customFormat="false" ht="69" hidden="false" customHeight="true" outlineLevel="0" collapsed="false">
      <c r="A190" s="23" t="str">
        <f aca="false">TEXT(B190,"ddd")</f>
        <v>to</v>
      </c>
      <c r="B190" s="24" t="n">
        <v>43741</v>
      </c>
      <c r="C190" s="25"/>
      <c r="D190" s="26"/>
      <c r="E190" s="26"/>
      <c r="F190" s="22"/>
      <c r="H190" s="41"/>
      <c r="I190" s="47" t="n">
        <f aca="false">H190/10</f>
        <v>0</v>
      </c>
      <c r="J190" s="60" t="n">
        <f aca="false">IF(H190=0,0,E190/H190*10)</f>
        <v>0</v>
      </c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customFormat="false" ht="69" hidden="false" customHeight="true" outlineLevel="0" collapsed="false">
      <c r="A191" s="23" t="str">
        <f aca="false">TEXT(B191,"ddd")</f>
        <v>fr</v>
      </c>
      <c r="B191" s="24" t="n">
        <v>43742</v>
      </c>
      <c r="C191" s="25"/>
      <c r="D191" s="26"/>
      <c r="E191" s="26"/>
      <c r="F191" s="22"/>
      <c r="H191" s="41"/>
      <c r="I191" s="47" t="n">
        <f aca="false">H191/10</f>
        <v>0</v>
      </c>
      <c r="J191" s="60" t="n">
        <f aca="false">IF(H191=0,0,E191/H191*10)</f>
        <v>0</v>
      </c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customFormat="false" ht="69" hidden="false" customHeight="true" outlineLevel="0" collapsed="false">
      <c r="A192" s="23" t="str">
        <f aca="false">TEXT(B192,"ddd")</f>
        <v>lö</v>
      </c>
      <c r="B192" s="24" t="n">
        <v>43743</v>
      </c>
      <c r="C192" s="25"/>
      <c r="D192" s="26"/>
      <c r="E192" s="26"/>
      <c r="F192" s="22"/>
      <c r="H192" s="41"/>
      <c r="I192" s="47" t="n">
        <f aca="false">H192/10</f>
        <v>0</v>
      </c>
      <c r="J192" s="60" t="n">
        <f aca="false">IF(H192=0,0,E192/H192*10)</f>
        <v>0</v>
      </c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customFormat="false" ht="35.25" hidden="false" customHeight="true" outlineLevel="0" collapsed="false">
      <c r="A193" s="49"/>
      <c r="B193" s="50"/>
      <c r="C193" s="51" t="s">
        <v>80</v>
      </c>
      <c r="D193" s="52" t="n">
        <f aca="false">SUM(D186:D192)</f>
        <v>0</v>
      </c>
      <c r="E193" s="52" t="n">
        <f aca="false">SUM(E186:E192)</f>
        <v>0</v>
      </c>
      <c r="F193" s="53" t="n">
        <f aca="false">SUM(F186:F192)</f>
        <v>0</v>
      </c>
      <c r="G193" s="54" t="n">
        <f aca="false">SUM(G186:G192)</f>
        <v>0</v>
      </c>
      <c r="H193" s="55" t="n">
        <f aca="false">SUM(H186:H192)</f>
        <v>37</v>
      </c>
      <c r="I193" s="56" t="n">
        <f aca="false">H193/10</f>
        <v>3.7</v>
      </c>
      <c r="J193" s="57" t="n">
        <f aca="false">IF(H193=0,0,E193/H193*10)</f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customFormat="false" ht="69" hidden="false" customHeight="true" outlineLevel="0" collapsed="false">
      <c r="A194" s="23" t="str">
        <f aca="false">TEXT(B194,"ddd")</f>
        <v>sö</v>
      </c>
      <c r="B194" s="24" t="n">
        <v>43744</v>
      </c>
      <c r="C194" s="25"/>
      <c r="D194" s="26"/>
      <c r="E194" s="26"/>
      <c r="F194" s="22"/>
      <c r="H194" s="41"/>
      <c r="I194" s="47" t="n">
        <f aca="false">H194/10</f>
        <v>0</v>
      </c>
      <c r="J194" s="60" t="n">
        <f aca="false">IF(H194=0,0,E194/H194*10)</f>
        <v>0</v>
      </c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customFormat="false" ht="69" hidden="false" customHeight="true" outlineLevel="0" collapsed="false">
      <c r="A195" s="23" t="str">
        <f aca="false">TEXT(B195,"ddd")</f>
        <v>må</v>
      </c>
      <c r="B195" s="24" t="n">
        <v>43745</v>
      </c>
      <c r="C195" s="25"/>
      <c r="D195" s="26"/>
      <c r="E195" s="26"/>
      <c r="F195" s="22"/>
      <c r="H195" s="41"/>
      <c r="I195" s="47" t="n">
        <f aca="false">H195/10</f>
        <v>0</v>
      </c>
      <c r="J195" s="60" t="n">
        <f aca="false">IF(H195=0,0,E195/H195*10)</f>
        <v>0</v>
      </c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customFormat="false" ht="69" hidden="false" customHeight="true" outlineLevel="0" collapsed="false">
      <c r="A196" s="23" t="str">
        <f aca="false">TEXT(B196,"ddd")</f>
        <v>ti</v>
      </c>
      <c r="B196" s="24" t="n">
        <v>43746</v>
      </c>
      <c r="C196" s="25"/>
      <c r="D196" s="26"/>
      <c r="E196" s="26"/>
      <c r="F196" s="22"/>
      <c r="H196" s="41"/>
      <c r="I196" s="47" t="n">
        <f aca="false">H196/10</f>
        <v>0</v>
      </c>
      <c r="J196" s="60" t="n">
        <f aca="false">IF(H196=0,0,E196/H196*10)</f>
        <v>0</v>
      </c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customFormat="false" ht="69" hidden="false" customHeight="true" outlineLevel="0" collapsed="false">
      <c r="A197" s="23" t="str">
        <f aca="false">TEXT(B197,"ddd")</f>
        <v>on</v>
      </c>
      <c r="B197" s="24" t="n">
        <v>43747</v>
      </c>
      <c r="C197" s="25" t="s">
        <v>134</v>
      </c>
      <c r="D197" s="26"/>
      <c r="E197" s="26"/>
      <c r="F197" s="22"/>
      <c r="H197" s="41" t="n">
        <v>83</v>
      </c>
      <c r="I197" s="47" t="n">
        <f aca="false">H197/10</f>
        <v>8.3</v>
      </c>
      <c r="J197" s="60" t="n">
        <f aca="false">IF(H197=0,0,E197/H197*10)</f>
        <v>0</v>
      </c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customFormat="false" ht="69" hidden="false" customHeight="true" outlineLevel="0" collapsed="false">
      <c r="A198" s="23" t="str">
        <f aca="false">TEXT(B198,"ddd")</f>
        <v>to</v>
      </c>
      <c r="B198" s="24" t="n">
        <v>43748</v>
      </c>
      <c r="C198" s="25" t="s">
        <v>121</v>
      </c>
      <c r="D198" s="26" t="n">
        <v>2500</v>
      </c>
      <c r="E198" s="26" t="n">
        <v>1008</v>
      </c>
      <c r="F198" s="22" t="n">
        <v>330</v>
      </c>
      <c r="G198" s="3" t="n">
        <v>1170</v>
      </c>
      <c r="H198" s="41" t="n">
        <v>203</v>
      </c>
      <c r="I198" s="47" t="n">
        <f aca="false">H198/10</f>
        <v>20.3</v>
      </c>
      <c r="J198" s="60" t="n">
        <f aca="false">IF(H198=0,0,E198/H198*10)</f>
        <v>49.6551724137931</v>
      </c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customFormat="false" ht="69" hidden="false" customHeight="true" outlineLevel="0" collapsed="false">
      <c r="A199" s="23" t="str">
        <f aca="false">TEXT(B199,"ddd")</f>
        <v>fr</v>
      </c>
      <c r="B199" s="24" t="n">
        <v>43749</v>
      </c>
      <c r="C199" s="25" t="s">
        <v>135</v>
      </c>
      <c r="D199" s="26" t="n">
        <v>2500</v>
      </c>
      <c r="E199" s="26" t="n">
        <v>800</v>
      </c>
      <c r="F199" s="22" t="n">
        <v>396</v>
      </c>
      <c r="G199" s="3" t="n">
        <v>1404</v>
      </c>
      <c r="H199" s="41" t="n">
        <v>157</v>
      </c>
      <c r="I199" s="47" t="n">
        <f aca="false">H199/10</f>
        <v>15.7</v>
      </c>
      <c r="J199" s="60" t="n">
        <f aca="false">IF(H199=0,0,E199/H199*10)</f>
        <v>50.9554140127389</v>
      </c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customFormat="false" ht="69" hidden="false" customHeight="true" outlineLevel="0" collapsed="false">
      <c r="A200" s="23" t="str">
        <f aca="false">TEXT(B200,"ddd")</f>
        <v>lö</v>
      </c>
      <c r="B200" s="24" t="n">
        <v>43750</v>
      </c>
      <c r="C200" s="25" t="s">
        <v>136</v>
      </c>
      <c r="D200" s="26" t="n">
        <v>1300</v>
      </c>
      <c r="E200" s="26" t="n">
        <v>300</v>
      </c>
      <c r="F200" s="22" t="n">
        <v>220</v>
      </c>
      <c r="G200" s="3" t="n">
        <v>780</v>
      </c>
      <c r="H200" s="41" t="n">
        <v>13</v>
      </c>
      <c r="I200" s="47" t="n">
        <f aca="false">H200/10</f>
        <v>1.3</v>
      </c>
      <c r="J200" s="60" t="n">
        <f aca="false">IF(H200=0,0,E200/H200*10)</f>
        <v>230.769230769231</v>
      </c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customFormat="false" ht="35.25" hidden="false" customHeight="true" outlineLevel="0" collapsed="false">
      <c r="A201" s="49"/>
      <c r="B201" s="50"/>
      <c r="C201" s="51" t="s">
        <v>80</v>
      </c>
      <c r="D201" s="52" t="n">
        <f aca="false">SUM(D194:D200)</f>
        <v>6300</v>
      </c>
      <c r="E201" s="52" t="n">
        <f aca="false">SUM(E194:E200)</f>
        <v>2108</v>
      </c>
      <c r="F201" s="53" t="n">
        <f aca="false">SUM(F194:F200)</f>
        <v>946</v>
      </c>
      <c r="G201" s="54" t="n">
        <f aca="false">SUM(G194:G200)</f>
        <v>3354</v>
      </c>
      <c r="H201" s="55" t="n">
        <f aca="false">SUM(H194:H200)</f>
        <v>456</v>
      </c>
      <c r="I201" s="56" t="n">
        <f aca="false">H201/10</f>
        <v>45.6</v>
      </c>
      <c r="J201" s="57" t="n">
        <f aca="false">IF(H201=0,0,E201/H201*10)</f>
        <v>46.2280701754386</v>
      </c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customFormat="false" ht="69" hidden="false" customHeight="true" outlineLevel="0" collapsed="false">
      <c r="A202" s="23" t="str">
        <f aca="false">TEXT(B202,"ddd")</f>
        <v>sö</v>
      </c>
      <c r="B202" s="24" t="n">
        <v>43751</v>
      </c>
      <c r="C202" s="25"/>
      <c r="D202" s="26"/>
      <c r="E202" s="26"/>
      <c r="F202" s="22"/>
      <c r="H202" s="41"/>
      <c r="I202" s="47" t="n">
        <f aca="false">H202/10</f>
        <v>0</v>
      </c>
      <c r="J202" s="60" t="n">
        <f aca="false">IF(H202=0,0,E202/H202*10)</f>
        <v>0</v>
      </c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customFormat="false" ht="69" hidden="false" customHeight="true" outlineLevel="0" collapsed="false">
      <c r="A203" s="23" t="str">
        <f aca="false">TEXT(B203,"ddd")</f>
        <v>må</v>
      </c>
      <c r="B203" s="24" t="n">
        <v>43752</v>
      </c>
      <c r="C203" s="25"/>
      <c r="D203" s="26"/>
      <c r="E203" s="26"/>
      <c r="F203" s="22"/>
      <c r="H203" s="41"/>
      <c r="I203" s="47" t="n">
        <f aca="false">H203/10</f>
        <v>0</v>
      </c>
      <c r="J203" s="60" t="n">
        <f aca="false">IF(H203=0,0,E203/H203*10)</f>
        <v>0</v>
      </c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customFormat="false" ht="69" hidden="false" customHeight="true" outlineLevel="0" collapsed="false">
      <c r="A204" s="23" t="str">
        <f aca="false">TEXT(B204,"ddd")</f>
        <v>ti</v>
      </c>
      <c r="B204" s="24" t="n">
        <v>43753</v>
      </c>
      <c r="C204" s="25"/>
      <c r="D204" s="26"/>
      <c r="E204" s="26"/>
      <c r="F204" s="22"/>
      <c r="H204" s="41"/>
      <c r="I204" s="47" t="n">
        <f aca="false">H204/10</f>
        <v>0</v>
      </c>
      <c r="J204" s="60" t="n">
        <f aca="false">IF(H204=0,0,E204/H204*10)</f>
        <v>0</v>
      </c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customFormat="false" ht="69" hidden="false" customHeight="true" outlineLevel="0" collapsed="false">
      <c r="A205" s="23" t="str">
        <f aca="false">TEXT(B205,"ddd")</f>
        <v>on</v>
      </c>
      <c r="B205" s="24" t="n">
        <v>43754</v>
      </c>
      <c r="C205" s="25"/>
      <c r="D205" s="26"/>
      <c r="E205" s="26"/>
      <c r="F205" s="22"/>
      <c r="H205" s="41"/>
      <c r="I205" s="47" t="n">
        <f aca="false">H205/10</f>
        <v>0</v>
      </c>
      <c r="J205" s="60" t="n">
        <f aca="false">IF(H205=0,0,E205/H205*10)</f>
        <v>0</v>
      </c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customFormat="false" ht="69" hidden="false" customHeight="true" outlineLevel="0" collapsed="false">
      <c r="A206" s="23" t="str">
        <f aca="false">TEXT(B206,"ddd")</f>
        <v>to</v>
      </c>
      <c r="B206" s="24" t="n">
        <v>43755</v>
      </c>
      <c r="C206" s="25"/>
      <c r="D206" s="26"/>
      <c r="E206" s="26"/>
      <c r="F206" s="22"/>
      <c r="H206" s="41"/>
      <c r="I206" s="47" t="n">
        <f aca="false">H206/10</f>
        <v>0</v>
      </c>
      <c r="J206" s="60" t="n">
        <f aca="false">IF(H206=0,0,E206/H206*10)</f>
        <v>0</v>
      </c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customFormat="false" ht="69" hidden="false" customHeight="true" outlineLevel="0" collapsed="false">
      <c r="A207" s="23" t="str">
        <f aca="false">TEXT(B207,"ddd")</f>
        <v>fr</v>
      </c>
      <c r="B207" s="24" t="n">
        <v>43756</v>
      </c>
      <c r="C207" s="25" t="s">
        <v>121</v>
      </c>
      <c r="D207" s="26" t="n">
        <v>2800</v>
      </c>
      <c r="E207" s="26" t="n">
        <v>1000</v>
      </c>
      <c r="F207" s="22" t="n">
        <f aca="false">(D207-E207)*0.22</f>
        <v>396</v>
      </c>
      <c r="G207" s="22" t="n">
        <f aca="false">(D207-E207)-F207</f>
        <v>1404</v>
      </c>
      <c r="H207" s="41" t="n">
        <v>158</v>
      </c>
      <c r="I207" s="47" t="n">
        <f aca="false">H207/10</f>
        <v>15.8</v>
      </c>
      <c r="J207" s="60" t="n">
        <f aca="false">IF(H207=0,0,E207/H207*10)</f>
        <v>63.2911392405063</v>
      </c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customFormat="false" ht="69" hidden="false" customHeight="true" outlineLevel="0" collapsed="false">
      <c r="A208" s="23" t="str">
        <f aca="false">TEXT(B208,"ddd")</f>
        <v>lö</v>
      </c>
      <c r="B208" s="24" t="n">
        <v>43757</v>
      </c>
      <c r="C208" s="25" t="s">
        <v>137</v>
      </c>
      <c r="D208" s="26" t="n">
        <v>1500</v>
      </c>
      <c r="E208" s="26" t="n">
        <v>500</v>
      </c>
      <c r="F208" s="22" t="n">
        <f aca="false">(D208-E208)*0.22</f>
        <v>220</v>
      </c>
      <c r="G208" s="22" t="n">
        <f aca="false">(D208-E208)-F208</f>
        <v>780</v>
      </c>
      <c r="H208" s="41" t="n">
        <v>52</v>
      </c>
      <c r="I208" s="47" t="n">
        <f aca="false">H208/10</f>
        <v>5.2</v>
      </c>
      <c r="J208" s="60" t="n">
        <f aca="false">IF(H208=0,0,E208/H208*10)</f>
        <v>96.1538461538462</v>
      </c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customFormat="false" ht="35.25" hidden="false" customHeight="true" outlineLevel="0" collapsed="false">
      <c r="A209" s="49"/>
      <c r="B209" s="50"/>
      <c r="C209" s="51" t="s">
        <v>80</v>
      </c>
      <c r="D209" s="52" t="n">
        <f aca="false">SUM(D202:D208)</f>
        <v>4300</v>
      </c>
      <c r="E209" s="52" t="n">
        <f aca="false">SUM(E202:E208)</f>
        <v>1500</v>
      </c>
      <c r="F209" s="53" t="n">
        <f aca="false">SUM(F202:F208)</f>
        <v>616</v>
      </c>
      <c r="G209" s="54" t="n">
        <f aca="false">SUM(G202:G208)</f>
        <v>2184</v>
      </c>
      <c r="H209" s="55" t="n">
        <f aca="false">SUM(H202:H208)</f>
        <v>210</v>
      </c>
      <c r="I209" s="56" t="n">
        <f aca="false">H209/10</f>
        <v>21</v>
      </c>
      <c r="J209" s="57" t="n">
        <f aca="false">IF(H209=0,0,E209/H209*10)</f>
        <v>71.4285714285714</v>
      </c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customFormat="false" ht="69" hidden="false" customHeight="true" outlineLevel="0" collapsed="false">
      <c r="A210" s="23" t="str">
        <f aca="false">TEXT(B210,"ddd")</f>
        <v>sö</v>
      </c>
      <c r="B210" s="24" t="n">
        <v>43758</v>
      </c>
      <c r="C210" s="25" t="s">
        <v>138</v>
      </c>
      <c r="D210" s="26" t="n">
        <v>2000</v>
      </c>
      <c r="E210" s="26" t="n">
        <v>800</v>
      </c>
      <c r="F210" s="22" t="n">
        <v>264</v>
      </c>
      <c r="G210" s="3" t="n">
        <v>936</v>
      </c>
      <c r="H210" s="41" t="n">
        <v>89</v>
      </c>
      <c r="I210" s="47" t="n">
        <f aca="false">H210/10</f>
        <v>8.9</v>
      </c>
      <c r="J210" s="60" t="n">
        <f aca="false">IF(H210=0,0,E210/H210*10)</f>
        <v>89.8876404494382</v>
      </c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customFormat="false" ht="69" hidden="false" customHeight="true" outlineLevel="0" collapsed="false">
      <c r="A211" s="23" t="str">
        <f aca="false">TEXT(B211,"ddd")</f>
        <v>må</v>
      </c>
      <c r="B211" s="24" t="n">
        <v>43759</v>
      </c>
      <c r="C211" s="25" t="s">
        <v>26</v>
      </c>
      <c r="D211" s="26"/>
      <c r="E211" s="26"/>
      <c r="F211" s="22"/>
      <c r="H211" s="41"/>
      <c r="I211" s="47" t="n">
        <f aca="false">H211/10</f>
        <v>0</v>
      </c>
      <c r="J211" s="60" t="n">
        <f aca="false">IF(H211=0,0,E211/H211*10)</f>
        <v>0</v>
      </c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customFormat="false" ht="69" hidden="false" customHeight="true" outlineLevel="0" collapsed="false">
      <c r="A212" s="23" t="str">
        <f aca="false">TEXT(B212,"ddd")</f>
        <v>ti</v>
      </c>
      <c r="B212" s="24" t="n">
        <v>43760</v>
      </c>
      <c r="C212" s="25" t="s">
        <v>26</v>
      </c>
      <c r="D212" s="26"/>
      <c r="E212" s="26"/>
      <c r="F212" s="22"/>
      <c r="H212" s="41"/>
      <c r="I212" s="47" t="n">
        <f aca="false">H212/10</f>
        <v>0</v>
      </c>
      <c r="J212" s="60" t="n">
        <f aca="false">IF(H212=0,0,E212/H212*10)</f>
        <v>0</v>
      </c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customFormat="false" ht="69" hidden="false" customHeight="true" outlineLevel="0" collapsed="false">
      <c r="A213" s="23" t="str">
        <f aca="false">TEXT(B213,"ddd")</f>
        <v>on</v>
      </c>
      <c r="B213" s="24" t="n">
        <v>43761</v>
      </c>
      <c r="C213" s="25" t="s">
        <v>26</v>
      </c>
      <c r="D213" s="26"/>
      <c r="E213" s="26"/>
      <c r="F213" s="22"/>
      <c r="H213" s="41"/>
      <c r="I213" s="47" t="n">
        <f aca="false">H213/10</f>
        <v>0</v>
      </c>
      <c r="J213" s="60" t="n">
        <f aca="false">IF(H213=0,0,E213/H213*10)</f>
        <v>0</v>
      </c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customFormat="false" ht="69" hidden="false" customHeight="true" outlineLevel="0" collapsed="false">
      <c r="A214" s="23" t="str">
        <f aca="false">TEXT(B214,"ddd")</f>
        <v>to</v>
      </c>
      <c r="B214" s="24" t="n">
        <v>43762</v>
      </c>
      <c r="C214" s="25" t="s">
        <v>26</v>
      </c>
      <c r="D214" s="26"/>
      <c r="E214" s="26"/>
      <c r="F214" s="22"/>
      <c r="H214" s="41"/>
      <c r="I214" s="47" t="n">
        <f aca="false">H214/10</f>
        <v>0</v>
      </c>
      <c r="J214" s="60" t="n">
        <f aca="false">IF(H214=0,0,E214/H214*10)</f>
        <v>0</v>
      </c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customFormat="false" ht="69" hidden="false" customHeight="true" outlineLevel="0" collapsed="false">
      <c r="A215" s="23" t="str">
        <f aca="false">TEXT(B215,"ddd")</f>
        <v>fr</v>
      </c>
      <c r="B215" s="24" t="n">
        <v>43763</v>
      </c>
      <c r="C215" s="25" t="s">
        <v>26</v>
      </c>
      <c r="D215" s="26"/>
      <c r="E215" s="26"/>
      <c r="F215" s="22"/>
      <c r="H215" s="41"/>
      <c r="I215" s="47" t="n">
        <f aca="false">H215/10</f>
        <v>0</v>
      </c>
      <c r="J215" s="60" t="n">
        <f aca="false">IF(H215=0,0,E215/H215*10)</f>
        <v>0</v>
      </c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customFormat="false" ht="69" hidden="false" customHeight="true" outlineLevel="0" collapsed="false">
      <c r="A216" s="23" t="str">
        <f aca="false">TEXT(B216,"ddd")</f>
        <v>lö</v>
      </c>
      <c r="B216" s="24" t="n">
        <v>43764</v>
      </c>
      <c r="C216" s="25" t="s">
        <v>139</v>
      </c>
      <c r="D216" s="26" t="n">
        <v>2500</v>
      </c>
      <c r="E216" s="26" t="n">
        <v>1000</v>
      </c>
      <c r="F216" s="22" t="n">
        <v>330</v>
      </c>
      <c r="G216" s="3" t="n">
        <v>1605</v>
      </c>
      <c r="H216" s="41" t="n">
        <v>123</v>
      </c>
      <c r="I216" s="47" t="n">
        <f aca="false">H216/10</f>
        <v>12.3</v>
      </c>
      <c r="J216" s="60" t="n">
        <f aca="false">IF(H216=0,0,E216/H216*10)</f>
        <v>81.3008130081301</v>
      </c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customFormat="false" ht="35.25" hidden="false" customHeight="true" outlineLevel="0" collapsed="false">
      <c r="A217" s="49"/>
      <c r="B217" s="50"/>
      <c r="C217" s="51" t="s">
        <v>80</v>
      </c>
      <c r="D217" s="52" t="n">
        <f aca="false">SUM(D210:D216)</f>
        <v>4500</v>
      </c>
      <c r="E217" s="52" t="n">
        <f aca="false">SUM(E210:E216)</f>
        <v>1800</v>
      </c>
      <c r="F217" s="53" t="n">
        <f aca="false">SUM(F210:F216)</f>
        <v>594</v>
      </c>
      <c r="G217" s="54" t="n">
        <f aca="false">SUM(G210:G216)</f>
        <v>2541</v>
      </c>
      <c r="H217" s="55" t="n">
        <f aca="false">SUM(H210:H216)</f>
        <v>212</v>
      </c>
      <c r="I217" s="56" t="n">
        <f aca="false">H217/10</f>
        <v>21.2</v>
      </c>
      <c r="J217" s="57" t="n">
        <f aca="false">IF(H217=0,0,E217/H217*10)</f>
        <v>84.9056603773585</v>
      </c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customFormat="false" ht="69" hidden="false" customHeight="true" outlineLevel="0" collapsed="false">
      <c r="A218" s="23" t="str">
        <f aca="false">TEXT(B218,"ddd")</f>
        <v>sö</v>
      </c>
      <c r="B218" s="24" t="n">
        <v>43765</v>
      </c>
      <c r="C218" s="25" t="s">
        <v>140</v>
      </c>
      <c r="D218" s="26" t="n">
        <v>2500</v>
      </c>
      <c r="E218" s="26" t="n">
        <v>800</v>
      </c>
      <c r="F218" s="22" t="n">
        <f aca="false">(D218-E218)*0.22</f>
        <v>374</v>
      </c>
      <c r="G218" s="22" t="n">
        <f aca="false">(D218-E218)-F218</f>
        <v>1326</v>
      </c>
      <c r="H218" s="41" t="n">
        <v>237</v>
      </c>
      <c r="I218" s="47" t="n">
        <f aca="false">H218/10</f>
        <v>23.7</v>
      </c>
      <c r="J218" s="60" t="n">
        <f aca="false">IF(H218=0,0,E218/H218*10)</f>
        <v>33.7552742616034</v>
      </c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customFormat="false" ht="69" hidden="false" customHeight="true" outlineLevel="0" collapsed="false">
      <c r="A219" s="23" t="str">
        <f aca="false">TEXT(B219,"ddd")</f>
        <v>må</v>
      </c>
      <c r="B219" s="24" t="n">
        <v>43766</v>
      </c>
      <c r="C219" s="25" t="s">
        <v>141</v>
      </c>
      <c r="D219" s="26" t="n">
        <v>1500</v>
      </c>
      <c r="E219" s="26" t="n">
        <v>400</v>
      </c>
      <c r="F219" s="22" t="n">
        <f aca="false">(D219-E219)*0.22</f>
        <v>242</v>
      </c>
      <c r="G219" s="22" t="n">
        <f aca="false">(D219-E219)-F219</f>
        <v>858</v>
      </c>
      <c r="H219" s="41" t="n">
        <v>57</v>
      </c>
      <c r="I219" s="47" t="n">
        <f aca="false">H219/10</f>
        <v>5.7</v>
      </c>
      <c r="J219" s="60" t="n">
        <f aca="false">IF(H219=0,0,E219/H219*10)</f>
        <v>70.1754385964912</v>
      </c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customFormat="false" ht="69" hidden="false" customHeight="true" outlineLevel="0" collapsed="false">
      <c r="A220" s="23" t="str">
        <f aca="false">TEXT(B220,"ddd")</f>
        <v>ti</v>
      </c>
      <c r="B220" s="24" t="n">
        <v>43767</v>
      </c>
      <c r="C220" s="25" t="s">
        <v>26</v>
      </c>
      <c r="D220" s="26"/>
      <c r="E220" s="26"/>
      <c r="F220" s="22" t="n">
        <f aca="false">(D220-E220)*0.22</f>
        <v>0</v>
      </c>
      <c r="G220" s="22" t="n">
        <f aca="false">(D220-E220)-F220</f>
        <v>0</v>
      </c>
      <c r="H220" s="41"/>
      <c r="I220" s="47" t="n">
        <f aca="false">H220/10</f>
        <v>0</v>
      </c>
      <c r="J220" s="60" t="n">
        <f aca="false">IF(H220=0,0,E220/H220*10)</f>
        <v>0</v>
      </c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customFormat="false" ht="69" hidden="false" customHeight="true" outlineLevel="0" collapsed="false">
      <c r="A221" s="23" t="str">
        <f aca="false">TEXT(B221,"ddd")</f>
        <v>on</v>
      </c>
      <c r="B221" s="24" t="n">
        <v>43768</v>
      </c>
      <c r="C221" s="25" t="s">
        <v>26</v>
      </c>
      <c r="D221" s="26"/>
      <c r="E221" s="26"/>
      <c r="F221" s="22" t="n">
        <f aca="false">(D221-E221)*0.22</f>
        <v>0</v>
      </c>
      <c r="G221" s="22" t="n">
        <f aca="false">(D221-E221)-F221</f>
        <v>0</v>
      </c>
      <c r="H221" s="41"/>
      <c r="I221" s="47" t="n">
        <f aca="false">H221/10</f>
        <v>0</v>
      </c>
      <c r="J221" s="60" t="n">
        <f aca="false">IF(H221=0,0,E221/H221*10)</f>
        <v>0</v>
      </c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customFormat="false" ht="69" hidden="false" customHeight="true" outlineLevel="0" collapsed="false">
      <c r="A222" s="23" t="str">
        <f aca="false">TEXT(B222,"ddd")</f>
        <v>to</v>
      </c>
      <c r="B222" s="24" t="n">
        <v>43769</v>
      </c>
      <c r="C222" s="25" t="s">
        <v>142</v>
      </c>
      <c r="D222" s="26" t="n">
        <v>2500</v>
      </c>
      <c r="E222" s="26" t="n">
        <v>800</v>
      </c>
      <c r="F222" s="22" t="n">
        <f aca="false">(D222-E222)*0.22</f>
        <v>374</v>
      </c>
      <c r="G222" s="22" t="n">
        <f aca="false">(D222-E222)-F222</f>
        <v>1326</v>
      </c>
      <c r="H222" s="41" t="n">
        <v>126</v>
      </c>
      <c r="I222" s="47" t="n">
        <f aca="false">H222/10</f>
        <v>12.6</v>
      </c>
      <c r="J222" s="60" t="n">
        <f aca="false">IF(H222=0,0,E222/H222*10)</f>
        <v>63.4920634920635</v>
      </c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customFormat="false" ht="69" hidden="false" customHeight="true" outlineLevel="0" collapsed="false">
      <c r="A223" s="23" t="str">
        <f aca="false">TEXT(B223,"ddd")</f>
        <v>fr</v>
      </c>
      <c r="B223" s="24" t="n">
        <v>43770</v>
      </c>
      <c r="C223" s="25" t="s">
        <v>143</v>
      </c>
      <c r="D223" s="26" t="n">
        <v>2500</v>
      </c>
      <c r="E223" s="26" t="n">
        <v>800</v>
      </c>
      <c r="F223" s="22" t="n">
        <f aca="false">(D223-E223)*0.22</f>
        <v>374</v>
      </c>
      <c r="G223" s="22" t="n">
        <f aca="false">(D223-E223)-F223</f>
        <v>1326</v>
      </c>
      <c r="H223" s="41" t="n">
        <v>197</v>
      </c>
      <c r="I223" s="47" t="n">
        <f aca="false">H223/10</f>
        <v>19.7</v>
      </c>
      <c r="J223" s="60" t="n">
        <f aca="false">IF(H223=0,0,E223/H223*10)</f>
        <v>40.6091370558376</v>
      </c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customFormat="false" ht="69" hidden="false" customHeight="true" outlineLevel="0" collapsed="false">
      <c r="A224" s="23" t="str">
        <f aca="false">TEXT(B224,"ddd")</f>
        <v>lö</v>
      </c>
      <c r="B224" s="24" t="n">
        <v>43771</v>
      </c>
      <c r="C224" s="25" t="s">
        <v>142</v>
      </c>
      <c r="D224" s="26" t="n">
        <v>3500</v>
      </c>
      <c r="E224" s="26" t="n">
        <v>800</v>
      </c>
      <c r="F224" s="22" t="n">
        <f aca="false">(D224-E224)*0.22</f>
        <v>594</v>
      </c>
      <c r="G224" s="22" t="n">
        <f aca="false">(D224-E224)-F224</f>
        <v>2106</v>
      </c>
      <c r="H224" s="41" t="n">
        <v>123</v>
      </c>
      <c r="I224" s="47" t="n">
        <f aca="false">H224/10</f>
        <v>12.3</v>
      </c>
      <c r="J224" s="60" t="n">
        <f aca="false">IF(H224=0,0,E224/H224*10)</f>
        <v>65.0406504065041</v>
      </c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customFormat="false" ht="35.25" hidden="false" customHeight="true" outlineLevel="0" collapsed="false">
      <c r="A225" s="49"/>
      <c r="B225" s="50"/>
      <c r="C225" s="51" t="s">
        <v>80</v>
      </c>
      <c r="D225" s="52" t="n">
        <f aca="false">SUM(D218:D224)</f>
        <v>12500</v>
      </c>
      <c r="E225" s="52" t="n">
        <f aca="false">SUM(E218:E224)</f>
        <v>3600</v>
      </c>
      <c r="F225" s="53" t="n">
        <f aca="false">SUM(F218:F224)</f>
        <v>1958</v>
      </c>
      <c r="G225" s="54" t="n">
        <f aca="false">SUM(G218:G224)</f>
        <v>6942</v>
      </c>
      <c r="H225" s="55" t="n">
        <f aca="false">SUM(H218:H224)</f>
        <v>740</v>
      </c>
      <c r="I225" s="56" t="n">
        <f aca="false">H225/10</f>
        <v>74</v>
      </c>
      <c r="J225" s="57" t="n">
        <f aca="false">IF(H225=0,0,E225/H225*10)</f>
        <v>48.6486486486486</v>
      </c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customFormat="false" ht="69" hidden="false" customHeight="true" outlineLevel="0" collapsed="false">
      <c r="A226" s="23" t="str">
        <f aca="false">TEXT(B226,"ddd")</f>
        <v>sö</v>
      </c>
      <c r="B226" s="24" t="n">
        <v>43772</v>
      </c>
      <c r="C226" s="25" t="s">
        <v>144</v>
      </c>
      <c r="D226" s="26" t="n">
        <v>600</v>
      </c>
      <c r="E226" s="26" t="n">
        <v>200</v>
      </c>
      <c r="F226" s="22" t="n">
        <f aca="false">(D226-E226)*0.22</f>
        <v>88</v>
      </c>
      <c r="G226" s="22" t="n">
        <f aca="false">(D226-E226)-F226</f>
        <v>312</v>
      </c>
      <c r="H226" s="41" t="n">
        <v>49</v>
      </c>
      <c r="I226" s="47" t="n">
        <f aca="false">H226/10</f>
        <v>4.9</v>
      </c>
      <c r="J226" s="60" t="n">
        <f aca="false">IF(H226=0,0,E226/H226*10)</f>
        <v>40.8163265306122</v>
      </c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customFormat="false" ht="69" hidden="false" customHeight="true" outlineLevel="0" collapsed="false">
      <c r="A227" s="23" t="str">
        <f aca="false">TEXT(B227,"ddd")</f>
        <v>må</v>
      </c>
      <c r="B227" s="24" t="n">
        <v>43773</v>
      </c>
      <c r="C227" s="25"/>
      <c r="D227" s="26"/>
      <c r="E227" s="26"/>
      <c r="F227" s="22" t="n">
        <f aca="false">(D227-E227)*0.22</f>
        <v>0</v>
      </c>
      <c r="G227" s="22" t="n">
        <f aca="false">(D227-E227)-F227</f>
        <v>0</v>
      </c>
      <c r="H227" s="41"/>
      <c r="I227" s="47" t="n">
        <f aca="false">H227/10</f>
        <v>0</v>
      </c>
      <c r="J227" s="60" t="n">
        <f aca="false">IF(H227=0,0,E227/H227*10)</f>
        <v>0</v>
      </c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customFormat="false" ht="69" hidden="false" customHeight="true" outlineLevel="0" collapsed="false">
      <c r="A228" s="23" t="str">
        <f aca="false">TEXT(B228,"ddd")</f>
        <v>ti</v>
      </c>
      <c r="B228" s="24" t="n">
        <v>43774</v>
      </c>
      <c r="C228" s="25"/>
      <c r="D228" s="26"/>
      <c r="E228" s="26"/>
      <c r="F228" s="22" t="n">
        <f aca="false">(D228-E228)*0.22</f>
        <v>0</v>
      </c>
      <c r="G228" s="22" t="n">
        <f aca="false">(D228-E228)-F228</f>
        <v>0</v>
      </c>
      <c r="H228" s="41"/>
      <c r="I228" s="47" t="n">
        <f aca="false">H228/10</f>
        <v>0</v>
      </c>
      <c r="J228" s="60" t="n">
        <f aca="false">IF(H228=0,0,E228/H228*10)</f>
        <v>0</v>
      </c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customFormat="false" ht="69" hidden="false" customHeight="true" outlineLevel="0" collapsed="false">
      <c r="A229" s="23" t="str">
        <f aca="false">TEXT(B229,"ddd")</f>
        <v>on</v>
      </c>
      <c r="B229" s="24" t="n">
        <v>43775</v>
      </c>
      <c r="C229" s="25" t="s">
        <v>144</v>
      </c>
      <c r="D229" s="26" t="n">
        <v>600</v>
      </c>
      <c r="E229" s="26" t="n">
        <v>200</v>
      </c>
      <c r="F229" s="22" t="n">
        <f aca="false">(D229-E229)*0.22</f>
        <v>88</v>
      </c>
      <c r="G229" s="22" t="n">
        <f aca="false">(D229-E229)-F229</f>
        <v>312</v>
      </c>
      <c r="H229" s="41" t="n">
        <v>49</v>
      </c>
      <c r="I229" s="47" t="n">
        <f aca="false">H229/10</f>
        <v>4.9</v>
      </c>
      <c r="J229" s="60" t="n">
        <f aca="false">IF(H229=0,0,E229/H229*10)</f>
        <v>40.8163265306122</v>
      </c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customFormat="false" ht="69" hidden="false" customHeight="true" outlineLevel="0" collapsed="false">
      <c r="A230" s="23" t="str">
        <f aca="false">TEXT(B230,"ddd")</f>
        <v>to</v>
      </c>
      <c r="B230" s="24" t="n">
        <v>43776</v>
      </c>
      <c r="C230" s="25"/>
      <c r="D230" s="26"/>
      <c r="E230" s="26"/>
      <c r="F230" s="22" t="n">
        <f aca="false">(D230-E230)*0.22</f>
        <v>0</v>
      </c>
      <c r="G230" s="22" t="n">
        <f aca="false">(D230-E230)-F230</f>
        <v>0</v>
      </c>
      <c r="H230" s="41"/>
      <c r="I230" s="47" t="n">
        <f aca="false">H230/10</f>
        <v>0</v>
      </c>
      <c r="J230" s="60" t="n">
        <f aca="false">IF(H230=0,0,E230/H230*10)</f>
        <v>0</v>
      </c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customFormat="false" ht="69" hidden="false" customHeight="true" outlineLevel="0" collapsed="false">
      <c r="A231" s="23" t="str">
        <f aca="false">TEXT(B231,"ddd")</f>
        <v>fr</v>
      </c>
      <c r="B231" s="24" t="n">
        <v>43777</v>
      </c>
      <c r="C231" s="25"/>
      <c r="D231" s="26"/>
      <c r="E231" s="26"/>
      <c r="F231" s="22" t="n">
        <f aca="false">(D231-E231)*0.22</f>
        <v>0</v>
      </c>
      <c r="G231" s="22" t="n">
        <f aca="false">(D231-E231)-F231</f>
        <v>0</v>
      </c>
      <c r="H231" s="41"/>
      <c r="I231" s="47" t="n">
        <f aca="false">H231/10</f>
        <v>0</v>
      </c>
      <c r="J231" s="60" t="n">
        <f aca="false">IF(H231=0,0,E231/H231*10)</f>
        <v>0</v>
      </c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customFormat="false" ht="69" hidden="false" customHeight="true" outlineLevel="0" collapsed="false">
      <c r="A232" s="23" t="str">
        <f aca="false">TEXT(B232,"ddd")</f>
        <v>lö</v>
      </c>
      <c r="B232" s="24" t="n">
        <v>43778</v>
      </c>
      <c r="C232" s="25"/>
      <c r="D232" s="26"/>
      <c r="E232" s="26"/>
      <c r="F232" s="22" t="n">
        <f aca="false">(D232-E232)*0.22</f>
        <v>0</v>
      </c>
      <c r="G232" s="22" t="n">
        <f aca="false">(D232-E232)-F232</f>
        <v>0</v>
      </c>
      <c r="H232" s="41"/>
      <c r="I232" s="47" t="n">
        <f aca="false">H232/10</f>
        <v>0</v>
      </c>
      <c r="J232" s="60" t="n">
        <f aca="false">IF(H232=0,0,E232/H232*10)</f>
        <v>0</v>
      </c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customFormat="false" ht="35.25" hidden="false" customHeight="true" outlineLevel="0" collapsed="false">
      <c r="A233" s="49"/>
      <c r="B233" s="50"/>
      <c r="C233" s="51" t="s">
        <v>80</v>
      </c>
      <c r="D233" s="52"/>
      <c r="E233" s="52"/>
      <c r="F233" s="53" t="n">
        <f aca="false">SUM(F226:F232)</f>
        <v>176</v>
      </c>
      <c r="G233" s="53" t="n">
        <f aca="false">SUM(G226:G232)</f>
        <v>624</v>
      </c>
      <c r="H233" s="55"/>
      <c r="I233" s="56" t="n">
        <f aca="false">H233/10</f>
        <v>0</v>
      </c>
      <c r="J233" s="57" t="n">
        <f aca="false">IF(H233=0,0,E233/H233*10)</f>
        <v>0</v>
      </c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customFormat="false" ht="69" hidden="false" customHeight="true" outlineLevel="0" collapsed="false">
      <c r="A234" s="23" t="str">
        <f aca="false">TEXT(B234,"ddd")</f>
        <v>sö</v>
      </c>
      <c r="B234" s="24" t="n">
        <v>43779</v>
      </c>
      <c r="C234" s="25" t="s">
        <v>26</v>
      </c>
      <c r="D234" s="26"/>
      <c r="E234" s="26"/>
      <c r="F234" s="22" t="n">
        <f aca="false">(D234-E234)*0.22</f>
        <v>0</v>
      </c>
      <c r="G234" s="22" t="n">
        <f aca="false">(D234-E234)-F234</f>
        <v>0</v>
      </c>
      <c r="H234" s="41"/>
      <c r="I234" s="47" t="n">
        <f aca="false">H234/10</f>
        <v>0</v>
      </c>
      <c r="J234" s="60" t="n">
        <f aca="false">IF(H234=0,0,E234/H234*10)</f>
        <v>0</v>
      </c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customFormat="false" ht="69" hidden="false" customHeight="true" outlineLevel="0" collapsed="false">
      <c r="A235" s="23" t="str">
        <f aca="false">TEXT(B235,"ddd")</f>
        <v>må</v>
      </c>
      <c r="B235" s="24" t="n">
        <v>43780</v>
      </c>
      <c r="C235" s="25" t="s">
        <v>145</v>
      </c>
      <c r="D235" s="26" t="n">
        <v>2500</v>
      </c>
      <c r="E235" s="26" t="n">
        <v>800</v>
      </c>
      <c r="F235" s="22" t="n">
        <f aca="false">(D235-E235)*0.22</f>
        <v>374</v>
      </c>
      <c r="G235" s="22" t="n">
        <f aca="false">(D235-E235)-F235</f>
        <v>1326</v>
      </c>
      <c r="H235" s="41" t="n">
        <v>132</v>
      </c>
      <c r="I235" s="47" t="n">
        <f aca="false">H235/10</f>
        <v>13.2</v>
      </c>
      <c r="J235" s="60" t="n">
        <f aca="false">IF(H235=0,0,E235/H235*10)</f>
        <v>60.6060606060606</v>
      </c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customFormat="false" ht="69" hidden="false" customHeight="true" outlineLevel="0" collapsed="false">
      <c r="A236" s="23" t="str">
        <f aca="false">TEXT(B236,"ddd")</f>
        <v>ti</v>
      </c>
      <c r="B236" s="24" t="n">
        <v>43781</v>
      </c>
      <c r="C236" s="25" t="s">
        <v>146</v>
      </c>
      <c r="D236" s="26"/>
      <c r="E236" s="26"/>
      <c r="F236" s="22" t="n">
        <f aca="false">(D236-E236)*0.22</f>
        <v>0</v>
      </c>
      <c r="G236" s="22" t="n">
        <f aca="false">(D236-E236)-F236</f>
        <v>0</v>
      </c>
      <c r="H236" s="41"/>
      <c r="I236" s="47" t="n">
        <f aca="false">H236/10</f>
        <v>0</v>
      </c>
      <c r="J236" s="60" t="n">
        <f aca="false">IF(H236=0,0,E236/H236*10)</f>
        <v>0</v>
      </c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customFormat="false" ht="69" hidden="false" customHeight="true" outlineLevel="0" collapsed="false">
      <c r="A237" s="23" t="str">
        <f aca="false">TEXT(B237,"ddd")</f>
        <v>on</v>
      </c>
      <c r="B237" s="24" t="n">
        <v>43782</v>
      </c>
      <c r="C237" s="25" t="s">
        <v>146</v>
      </c>
      <c r="D237" s="26"/>
      <c r="E237" s="26"/>
      <c r="F237" s="22" t="n">
        <f aca="false">(D237-E237)*0.22</f>
        <v>0</v>
      </c>
      <c r="G237" s="22" t="n">
        <f aca="false">(D237-E237)-F237</f>
        <v>0</v>
      </c>
      <c r="H237" s="41"/>
      <c r="I237" s="47" t="n">
        <f aca="false">H237/10</f>
        <v>0</v>
      </c>
      <c r="J237" s="60" t="n">
        <f aca="false">IF(H237=0,0,E237/H237*10)</f>
        <v>0</v>
      </c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customFormat="false" ht="69" hidden="false" customHeight="true" outlineLevel="0" collapsed="false">
      <c r="A238" s="23" t="str">
        <f aca="false">TEXT(B238,"ddd")</f>
        <v>to</v>
      </c>
      <c r="B238" s="24" t="n">
        <v>43783</v>
      </c>
      <c r="C238" s="25" t="s">
        <v>147</v>
      </c>
      <c r="D238" s="26" t="n">
        <v>2100</v>
      </c>
      <c r="E238" s="26" t="n">
        <v>700</v>
      </c>
      <c r="F238" s="22" t="n">
        <f aca="false">(D238-E238)*0.22</f>
        <v>308</v>
      </c>
      <c r="G238" s="22" t="n">
        <f aca="false">(D238-E238)-F238</f>
        <v>1092</v>
      </c>
      <c r="H238" s="41" t="n">
        <v>92</v>
      </c>
      <c r="I238" s="47" t="n">
        <f aca="false">H238/10</f>
        <v>9.2</v>
      </c>
      <c r="J238" s="60" t="n">
        <f aca="false">IF(H238=0,0,E238/H238*10)</f>
        <v>76.0869565217391</v>
      </c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customFormat="false" ht="69" hidden="false" customHeight="true" outlineLevel="0" collapsed="false">
      <c r="A239" s="23" t="str">
        <f aca="false">TEXT(B239,"ddd")</f>
        <v>fr</v>
      </c>
      <c r="B239" s="24" t="n">
        <v>43784</v>
      </c>
      <c r="C239" s="25" t="s">
        <v>148</v>
      </c>
      <c r="D239" s="26" t="n">
        <v>2500</v>
      </c>
      <c r="E239" s="26" t="n">
        <v>1000</v>
      </c>
      <c r="F239" s="22" t="n">
        <f aca="false">(D239-E239)*0.22</f>
        <v>330</v>
      </c>
      <c r="G239" s="22" t="n">
        <f aca="false">(D239-E239)-F239</f>
        <v>1170</v>
      </c>
      <c r="H239" s="41" t="n">
        <v>135</v>
      </c>
      <c r="I239" s="47" t="n">
        <f aca="false">H239/10</f>
        <v>13.5</v>
      </c>
      <c r="J239" s="60" t="n">
        <f aca="false">IF(H239=0,0,E239/H239*10)</f>
        <v>74.0740740740741</v>
      </c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customFormat="false" ht="69" hidden="false" customHeight="true" outlineLevel="0" collapsed="false">
      <c r="A240" s="23" t="str">
        <f aca="false">TEXT(B240,"ddd")</f>
        <v>lö</v>
      </c>
      <c r="B240" s="24" t="n">
        <v>43785</v>
      </c>
      <c r="C240" s="25"/>
      <c r="D240" s="26"/>
      <c r="E240" s="26"/>
      <c r="F240" s="22" t="n">
        <f aca="false">(D240-E240)*0.22</f>
        <v>0</v>
      </c>
      <c r="G240" s="22" t="n">
        <f aca="false">(D240-E240)-F240</f>
        <v>0</v>
      </c>
      <c r="H240" s="41"/>
      <c r="I240" s="47" t="n">
        <f aca="false">H240/10</f>
        <v>0</v>
      </c>
      <c r="J240" s="60" t="n">
        <f aca="false">IF(H240=0,0,E240/H240*10)</f>
        <v>0</v>
      </c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customFormat="false" ht="35.25" hidden="false" customHeight="true" outlineLevel="0" collapsed="false">
      <c r="A241" s="49"/>
      <c r="B241" s="50"/>
      <c r="C241" s="51" t="s">
        <v>80</v>
      </c>
      <c r="D241" s="52"/>
      <c r="E241" s="52"/>
      <c r="F241" s="53" t="n">
        <f aca="false">SUM(F234:F240)</f>
        <v>1012</v>
      </c>
      <c r="G241" s="53" t="n">
        <f aca="false">SUM(G234:G240)</f>
        <v>3588</v>
      </c>
      <c r="H241" s="55"/>
      <c r="I241" s="56" t="n">
        <f aca="false">H241/10</f>
        <v>0</v>
      </c>
      <c r="J241" s="57" t="n">
        <f aca="false">IF(H241=0,0,E241/H241*10)</f>
        <v>0</v>
      </c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customFormat="false" ht="69" hidden="false" customHeight="true" outlineLevel="0" collapsed="false">
      <c r="A242" s="23" t="str">
        <f aca="false">TEXT(B242,"ddd")</f>
        <v>sö</v>
      </c>
      <c r="B242" s="24" t="n">
        <v>43786</v>
      </c>
      <c r="C242" s="25" t="s">
        <v>26</v>
      </c>
      <c r="D242" s="26"/>
      <c r="E242" s="26"/>
      <c r="F242" s="22" t="n">
        <f aca="false">(D242-E242)*0.22</f>
        <v>0</v>
      </c>
      <c r="G242" s="22" t="n">
        <f aca="false">(D242-E242)-F242</f>
        <v>0</v>
      </c>
      <c r="H242" s="41"/>
      <c r="I242" s="47" t="n">
        <f aca="false">H242/10</f>
        <v>0</v>
      </c>
      <c r="J242" s="60" t="n">
        <f aca="false">IF(H242=0,0,E242/H242*10)</f>
        <v>0</v>
      </c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customFormat="false" ht="69" hidden="false" customHeight="true" outlineLevel="0" collapsed="false">
      <c r="A243" s="23" t="str">
        <f aca="false">TEXT(B243,"ddd")</f>
        <v>må</v>
      </c>
      <c r="B243" s="24" t="n">
        <v>43787</v>
      </c>
      <c r="C243" s="25" t="s">
        <v>26</v>
      </c>
      <c r="D243" s="26"/>
      <c r="E243" s="26"/>
      <c r="F243" s="22" t="n">
        <f aca="false">(D243-E243)*0.22</f>
        <v>0</v>
      </c>
      <c r="G243" s="22" t="n">
        <f aca="false">(D243-E243)-F243</f>
        <v>0</v>
      </c>
      <c r="H243" s="41"/>
      <c r="I243" s="47" t="n">
        <f aca="false">H243/10</f>
        <v>0</v>
      </c>
      <c r="J243" s="60" t="n">
        <f aca="false">IF(H243=0,0,E243/H243*10)</f>
        <v>0</v>
      </c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customFormat="false" ht="69" hidden="false" customHeight="true" outlineLevel="0" collapsed="false">
      <c r="A244" s="23" t="str">
        <f aca="false">TEXT(B244,"ddd")</f>
        <v>ti</v>
      </c>
      <c r="B244" s="24" t="n">
        <v>43788</v>
      </c>
      <c r="C244" s="25" t="s">
        <v>26</v>
      </c>
      <c r="D244" s="26"/>
      <c r="E244" s="26"/>
      <c r="F244" s="22" t="n">
        <f aca="false">(D244-E244)*0.22</f>
        <v>0</v>
      </c>
      <c r="G244" s="22" t="n">
        <f aca="false">(D244-E244)-F244</f>
        <v>0</v>
      </c>
      <c r="H244" s="41"/>
      <c r="I244" s="47" t="n">
        <f aca="false">H244/10</f>
        <v>0</v>
      </c>
      <c r="J244" s="60" t="n">
        <f aca="false">IF(H244=0,0,E244/H244*10)</f>
        <v>0</v>
      </c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customFormat="false" ht="69" hidden="false" customHeight="true" outlineLevel="0" collapsed="false">
      <c r="A245" s="23" t="str">
        <f aca="false">TEXT(B245,"ddd")</f>
        <v>on</v>
      </c>
      <c r="B245" s="24" t="n">
        <v>43789</v>
      </c>
      <c r="C245" s="25" t="s">
        <v>26</v>
      </c>
      <c r="D245" s="26"/>
      <c r="E245" s="26"/>
      <c r="F245" s="22" t="n">
        <f aca="false">(D245-E245)*0.22</f>
        <v>0</v>
      </c>
      <c r="G245" s="22" t="n">
        <f aca="false">(D245-E245)-F245</f>
        <v>0</v>
      </c>
      <c r="H245" s="41"/>
      <c r="I245" s="47" t="n">
        <f aca="false">H245/10</f>
        <v>0</v>
      </c>
      <c r="J245" s="60" t="n">
        <f aca="false">IF(H245=0,0,E245/H245*10)</f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customFormat="false" ht="69" hidden="false" customHeight="true" outlineLevel="0" collapsed="false">
      <c r="A246" s="23" t="str">
        <f aca="false">TEXT(B246,"ddd")</f>
        <v>to</v>
      </c>
      <c r="B246" s="24" t="n">
        <v>43790</v>
      </c>
      <c r="C246" s="25" t="s">
        <v>26</v>
      </c>
      <c r="D246" s="26"/>
      <c r="E246" s="26"/>
      <c r="F246" s="22" t="n">
        <f aca="false">(D246-E246)*0.22</f>
        <v>0</v>
      </c>
      <c r="G246" s="22" t="n">
        <f aca="false">(D246-E246)-F246</f>
        <v>0</v>
      </c>
      <c r="H246" s="41"/>
      <c r="I246" s="47" t="n">
        <f aca="false">H246/10</f>
        <v>0</v>
      </c>
      <c r="J246" s="60" t="n">
        <f aca="false">IF(H246=0,0,E246/H246*10)</f>
        <v>0</v>
      </c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customFormat="false" ht="69" hidden="false" customHeight="true" outlineLevel="0" collapsed="false">
      <c r="A247" s="23" t="str">
        <f aca="false">TEXT(B247,"ddd")</f>
        <v>fr</v>
      </c>
      <c r="B247" s="24" t="n">
        <v>43791</v>
      </c>
      <c r="C247" s="25" t="s">
        <v>26</v>
      </c>
      <c r="D247" s="26"/>
      <c r="E247" s="26"/>
      <c r="F247" s="22" t="n">
        <f aca="false">(D247-E247)*0.22</f>
        <v>0</v>
      </c>
      <c r="G247" s="22" t="n">
        <f aca="false">(D247-E247)-F247</f>
        <v>0</v>
      </c>
      <c r="H247" s="41"/>
      <c r="I247" s="47" t="n">
        <f aca="false">H247/10</f>
        <v>0</v>
      </c>
      <c r="J247" s="60" t="n">
        <f aca="false">IF(H247=0,0,E247/H247*10)</f>
        <v>0</v>
      </c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customFormat="false" ht="69" hidden="false" customHeight="true" outlineLevel="0" collapsed="false">
      <c r="A248" s="23" t="str">
        <f aca="false">TEXT(B248,"ddd")</f>
        <v>lö</v>
      </c>
      <c r="B248" s="24" t="n">
        <v>43792</v>
      </c>
      <c r="C248" s="25" t="s">
        <v>26</v>
      </c>
      <c r="D248" s="26"/>
      <c r="E248" s="26"/>
      <c r="F248" s="22" t="n">
        <f aca="false">(D248-E248)*0.22</f>
        <v>0</v>
      </c>
      <c r="G248" s="22" t="n">
        <f aca="false">(D248-E248)-F248</f>
        <v>0</v>
      </c>
      <c r="H248" s="41"/>
      <c r="I248" s="47" t="n">
        <f aca="false">H248/10</f>
        <v>0</v>
      </c>
      <c r="J248" s="60" t="n">
        <f aca="false">IF(H248=0,0,E248/H248*10)</f>
        <v>0</v>
      </c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customFormat="false" ht="35.25" hidden="false" customHeight="true" outlineLevel="0" collapsed="false">
      <c r="A249" s="49"/>
      <c r="B249" s="50"/>
      <c r="C249" s="51" t="s">
        <v>80</v>
      </c>
      <c r="D249" s="52"/>
      <c r="E249" s="52"/>
      <c r="F249" s="53" t="n">
        <f aca="false">SUM(F242:F248)</f>
        <v>0</v>
      </c>
      <c r="G249" s="53" t="n">
        <f aca="false">SUM(G242:G248)</f>
        <v>0</v>
      </c>
      <c r="H249" s="55"/>
      <c r="I249" s="56" t="n">
        <f aca="false">H249/10</f>
        <v>0</v>
      </c>
      <c r="J249" s="57" t="n">
        <f aca="false">IF(H249=0,0,E249/H249*10)</f>
        <v>0</v>
      </c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customFormat="false" ht="69" hidden="false" customHeight="true" outlineLevel="0" collapsed="false">
      <c r="A250" s="23" t="str">
        <f aca="false">TEXT(B250,"ddd")</f>
        <v>sö</v>
      </c>
      <c r="B250" s="24" t="n">
        <v>43793</v>
      </c>
      <c r="C250" s="25" t="s">
        <v>26</v>
      </c>
      <c r="D250" s="26"/>
      <c r="E250" s="26"/>
      <c r="F250" s="22" t="n">
        <f aca="false">(D250-E250)*0.22</f>
        <v>0</v>
      </c>
      <c r="G250" s="22" t="n">
        <f aca="false">(D250-E250)-F250</f>
        <v>0</v>
      </c>
      <c r="H250" s="41"/>
      <c r="I250" s="47" t="n">
        <f aca="false">H250/10</f>
        <v>0</v>
      </c>
      <c r="J250" s="60" t="n">
        <f aca="false">IF(H250=0,0,E250/H250*10)</f>
        <v>0</v>
      </c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customFormat="false" ht="69" hidden="false" customHeight="true" outlineLevel="0" collapsed="false">
      <c r="A251" s="23" t="str">
        <f aca="false">TEXT(B251,"ddd")</f>
        <v>må</v>
      </c>
      <c r="B251" s="24" t="n">
        <v>43794</v>
      </c>
      <c r="C251" s="25" t="s">
        <v>149</v>
      </c>
      <c r="D251" s="26"/>
      <c r="E251" s="26"/>
      <c r="F251" s="22" t="n">
        <f aca="false">(D251-E251)*0.22</f>
        <v>0</v>
      </c>
      <c r="G251" s="22" t="n">
        <f aca="false">(D251-E251)-F251</f>
        <v>0</v>
      </c>
      <c r="H251" s="41" t="n">
        <v>79</v>
      </c>
      <c r="I251" s="47" t="n">
        <f aca="false">H251/10</f>
        <v>7.9</v>
      </c>
      <c r="J251" s="60" t="n">
        <f aca="false">IF(H251=0,0,E251/H251*10)</f>
        <v>0</v>
      </c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customFormat="false" ht="69" hidden="false" customHeight="true" outlineLevel="0" collapsed="false">
      <c r="A252" s="23" t="str">
        <f aca="false">TEXT(B252,"ddd")</f>
        <v>ti</v>
      </c>
      <c r="B252" s="24" t="n">
        <v>43795</v>
      </c>
      <c r="C252" s="25" t="s">
        <v>26</v>
      </c>
      <c r="D252" s="26"/>
      <c r="E252" s="26"/>
      <c r="F252" s="22" t="n">
        <f aca="false">(D252-E252)*0.22</f>
        <v>0</v>
      </c>
      <c r="G252" s="22" t="n">
        <f aca="false">(D252-E252)-F252</f>
        <v>0</v>
      </c>
      <c r="H252" s="41"/>
      <c r="I252" s="47" t="n">
        <f aca="false">H252/10</f>
        <v>0</v>
      </c>
      <c r="J252" s="60" t="n">
        <f aca="false">IF(H252=0,0,E252/H252*10)</f>
        <v>0</v>
      </c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customFormat="false" ht="69" hidden="false" customHeight="true" outlineLevel="0" collapsed="false">
      <c r="A253" s="23" t="str">
        <f aca="false">TEXT(B253,"ddd")</f>
        <v>on</v>
      </c>
      <c r="B253" s="24" t="n">
        <v>43796</v>
      </c>
      <c r="C253" s="25" t="s">
        <v>150</v>
      </c>
      <c r="D253" s="26" t="n">
        <v>1500</v>
      </c>
      <c r="E253" s="26" t="n">
        <v>400</v>
      </c>
      <c r="F253" s="22" t="n">
        <f aca="false">(D253-E253)*0.22</f>
        <v>242</v>
      </c>
      <c r="G253" s="22" t="n">
        <f aca="false">(D253-E253)-F253</f>
        <v>858</v>
      </c>
      <c r="H253" s="41" t="n">
        <v>58</v>
      </c>
      <c r="I253" s="47" t="n">
        <f aca="false">H253/10</f>
        <v>5.8</v>
      </c>
      <c r="J253" s="60" t="n">
        <f aca="false">IF(H253=0,0,E253/H253*10)</f>
        <v>68.9655172413793</v>
      </c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customFormat="false" ht="69" hidden="false" customHeight="true" outlineLevel="0" collapsed="false">
      <c r="A254" s="23" t="str">
        <f aca="false">TEXT(B254,"ddd")</f>
        <v>to</v>
      </c>
      <c r="B254" s="24" t="n">
        <v>43797</v>
      </c>
      <c r="C254" s="25" t="s">
        <v>26</v>
      </c>
      <c r="D254" s="26"/>
      <c r="E254" s="26"/>
      <c r="F254" s="22" t="n">
        <f aca="false">(D254-E254)*0.22</f>
        <v>0</v>
      </c>
      <c r="G254" s="22" t="n">
        <f aca="false">(D254-E254)-F254</f>
        <v>0</v>
      </c>
      <c r="H254" s="41" t="n">
        <v>5</v>
      </c>
      <c r="I254" s="47" t="n">
        <f aca="false">H254/10</f>
        <v>0.5</v>
      </c>
      <c r="J254" s="60" t="n">
        <f aca="false">IF(H254=0,0,E254/H254*10)</f>
        <v>0</v>
      </c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customFormat="false" ht="69" hidden="false" customHeight="true" outlineLevel="0" collapsed="false">
      <c r="A255" s="23" t="str">
        <f aca="false">TEXT(B255,"ddd")</f>
        <v>fr</v>
      </c>
      <c r="B255" s="24" t="n">
        <v>43798</v>
      </c>
      <c r="C255" s="25" t="s">
        <v>26</v>
      </c>
      <c r="D255" s="26"/>
      <c r="E255" s="26"/>
      <c r="F255" s="22" t="n">
        <f aca="false">(D255-E255)*0.22</f>
        <v>0</v>
      </c>
      <c r="G255" s="22" t="n">
        <f aca="false">(D255-E255)-F255</f>
        <v>0</v>
      </c>
      <c r="H255" s="41"/>
      <c r="I255" s="47" t="n">
        <f aca="false">H255/10</f>
        <v>0</v>
      </c>
      <c r="J255" s="60" t="n">
        <f aca="false">IF(H255=0,0,E255/H255*10)</f>
        <v>0</v>
      </c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customFormat="false" ht="69" hidden="false" customHeight="true" outlineLevel="0" collapsed="false">
      <c r="A256" s="23" t="str">
        <f aca="false">TEXT(B256,"ddd")</f>
        <v>lö</v>
      </c>
      <c r="B256" s="24" t="n">
        <v>43799</v>
      </c>
      <c r="C256" s="25" t="s">
        <v>26</v>
      </c>
      <c r="D256" s="26"/>
      <c r="E256" s="26"/>
      <c r="F256" s="22" t="n">
        <f aca="false">(D256-E256)*0.22</f>
        <v>0</v>
      </c>
      <c r="G256" s="22" t="n">
        <f aca="false">(D256-E256)-F256</f>
        <v>0</v>
      </c>
      <c r="H256" s="41"/>
      <c r="I256" s="47" t="n">
        <f aca="false">H256/10</f>
        <v>0</v>
      </c>
      <c r="J256" s="60" t="n">
        <f aca="false">IF(H256=0,0,E256/H256*10)</f>
        <v>0</v>
      </c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customFormat="false" ht="35.25" hidden="false" customHeight="true" outlineLevel="0" collapsed="false">
      <c r="A257" s="49"/>
      <c r="B257" s="50"/>
      <c r="C257" s="51" t="s">
        <v>80</v>
      </c>
      <c r="D257" s="52"/>
      <c r="E257" s="52"/>
      <c r="F257" s="53" t="n">
        <f aca="false">SUM(F250:F256)</f>
        <v>242</v>
      </c>
      <c r="G257" s="53" t="n">
        <f aca="false">SUM(G250:G256)</f>
        <v>858</v>
      </c>
      <c r="H257" s="55"/>
      <c r="I257" s="56" t="n">
        <f aca="false">H257/10</f>
        <v>0</v>
      </c>
      <c r="J257" s="57" t="n">
        <f aca="false">IF(H257=0,0,E257/H257*10)</f>
        <v>0</v>
      </c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customFormat="false" ht="69" hidden="false" customHeight="true" outlineLevel="0" collapsed="false">
      <c r="A258" s="23" t="str">
        <f aca="false">TEXT(B258,"ddd")</f>
        <v>sö</v>
      </c>
      <c r="B258" s="24" t="n">
        <v>43800</v>
      </c>
      <c r="C258" s="25" t="s">
        <v>151</v>
      </c>
      <c r="D258" s="26"/>
      <c r="E258" s="26"/>
      <c r="F258" s="22"/>
      <c r="H258" s="41"/>
      <c r="I258" s="47" t="n">
        <f aca="false">H258/10</f>
        <v>0</v>
      </c>
      <c r="J258" s="60" t="n">
        <f aca="false">IF(H258=0,0,E258/H258*10)</f>
        <v>0</v>
      </c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customFormat="false" ht="69" hidden="false" customHeight="true" outlineLevel="0" collapsed="false">
      <c r="A259" s="23" t="str">
        <f aca="false">TEXT(B259,"ddd")</f>
        <v>må</v>
      </c>
      <c r="B259" s="24" t="n">
        <v>43801</v>
      </c>
      <c r="C259" s="25"/>
      <c r="D259" s="26"/>
      <c r="E259" s="26"/>
      <c r="F259" s="22"/>
      <c r="H259" s="41"/>
      <c r="I259" s="47" t="n">
        <f aca="false">H259/10</f>
        <v>0</v>
      </c>
      <c r="J259" s="60" t="n">
        <f aca="false">IF(H259=0,0,E259/H259*10)</f>
        <v>0</v>
      </c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customFormat="false" ht="69" hidden="false" customHeight="true" outlineLevel="0" collapsed="false">
      <c r="A260" s="23" t="str">
        <f aca="false">TEXT(B260,"ddd")</f>
        <v>ti</v>
      </c>
      <c r="B260" s="24" t="n">
        <v>43802</v>
      </c>
      <c r="C260" s="25"/>
      <c r="D260" s="26"/>
      <c r="E260" s="26"/>
      <c r="F260" s="22"/>
      <c r="H260" s="41"/>
      <c r="I260" s="47" t="n">
        <f aca="false">H260/10</f>
        <v>0</v>
      </c>
      <c r="J260" s="60" t="n">
        <f aca="false">IF(H260=0,0,E260/H260*10)</f>
        <v>0</v>
      </c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customFormat="false" ht="69" hidden="false" customHeight="true" outlineLevel="0" collapsed="false">
      <c r="A261" s="23" t="str">
        <f aca="false">TEXT(B261,"ddd")</f>
        <v>on</v>
      </c>
      <c r="B261" s="24" t="n">
        <v>43803</v>
      </c>
      <c r="C261" s="25"/>
      <c r="D261" s="26"/>
      <c r="E261" s="26"/>
      <c r="F261" s="22"/>
      <c r="H261" s="41"/>
      <c r="I261" s="47" t="n">
        <f aca="false">H261/10</f>
        <v>0</v>
      </c>
      <c r="J261" s="60" t="n">
        <f aca="false">IF(H261=0,0,E261/H261*10)</f>
        <v>0</v>
      </c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customFormat="false" ht="69" hidden="false" customHeight="true" outlineLevel="0" collapsed="false">
      <c r="A262" s="23" t="str">
        <f aca="false">TEXT(B262,"ddd")</f>
        <v>to</v>
      </c>
      <c r="B262" s="24" t="n">
        <v>43804</v>
      </c>
      <c r="C262" s="25"/>
      <c r="D262" s="26"/>
      <c r="E262" s="26"/>
      <c r="F262" s="22"/>
      <c r="H262" s="41"/>
      <c r="I262" s="47" t="n">
        <f aca="false">H262/10</f>
        <v>0</v>
      </c>
      <c r="J262" s="60" t="n">
        <f aca="false">IF(H262=0,0,E262/H262*10)</f>
        <v>0</v>
      </c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customFormat="false" ht="69" hidden="false" customHeight="true" outlineLevel="0" collapsed="false">
      <c r="A263" s="23" t="str">
        <f aca="false">TEXT(B263,"ddd")</f>
        <v>fr</v>
      </c>
      <c r="B263" s="24" t="n">
        <v>43805</v>
      </c>
      <c r="C263" s="25"/>
      <c r="D263" s="26"/>
      <c r="E263" s="26"/>
      <c r="F263" s="22"/>
      <c r="H263" s="41"/>
      <c r="I263" s="47" t="n">
        <f aca="false">H263/10</f>
        <v>0</v>
      </c>
      <c r="J263" s="60" t="n">
        <f aca="false">IF(H263=0,0,E263/H263*10)</f>
        <v>0</v>
      </c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customFormat="false" ht="69" hidden="false" customHeight="true" outlineLevel="0" collapsed="false">
      <c r="A264" s="23" t="str">
        <f aca="false">TEXT(B264,"ddd")</f>
        <v>lö</v>
      </c>
      <c r="B264" s="24" t="n">
        <v>43806</v>
      </c>
      <c r="C264" s="25"/>
      <c r="D264" s="26"/>
      <c r="E264" s="26"/>
      <c r="F264" s="22"/>
      <c r="H264" s="41"/>
      <c r="I264" s="47" t="n">
        <f aca="false">H264/10</f>
        <v>0</v>
      </c>
      <c r="J264" s="60" t="n">
        <f aca="false">IF(H264=0,0,E264/H264*10)</f>
        <v>0</v>
      </c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customFormat="false" ht="35.25" hidden="false" customHeight="true" outlineLevel="0" collapsed="false">
      <c r="A265" s="49"/>
      <c r="B265" s="50"/>
      <c r="C265" s="51" t="s">
        <v>80</v>
      </c>
      <c r="D265" s="52"/>
      <c r="E265" s="52"/>
      <c r="F265" s="53" t="n">
        <f aca="false">SUM(F258:F264)</f>
        <v>0</v>
      </c>
      <c r="G265" s="53" t="n">
        <f aca="false">SUM(G258:G264)</f>
        <v>0</v>
      </c>
      <c r="H265" s="55"/>
      <c r="I265" s="56" t="n">
        <f aca="false">H265/10</f>
        <v>0</v>
      </c>
      <c r="J265" s="57" t="n">
        <f aca="false">IF(H265=0,0,E265/H265*10)</f>
        <v>0</v>
      </c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customFormat="false" ht="69" hidden="false" customHeight="true" outlineLevel="0" collapsed="false">
      <c r="A266" s="23" t="str">
        <f aca="false">TEXT(B266,"ddd")</f>
        <v>sö</v>
      </c>
      <c r="B266" s="24" t="n">
        <v>43807</v>
      </c>
      <c r="C266" s="25"/>
      <c r="D266" s="26"/>
      <c r="E266" s="26"/>
      <c r="F266" s="22"/>
      <c r="H266" s="41"/>
      <c r="I266" s="47" t="n">
        <f aca="false">H266/10</f>
        <v>0</v>
      </c>
      <c r="J266" s="60" t="n">
        <f aca="false">IF(H266=0,0,E266/H266*10)</f>
        <v>0</v>
      </c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customFormat="false" ht="69" hidden="false" customHeight="true" outlineLevel="0" collapsed="false">
      <c r="A267" s="23" t="str">
        <f aca="false">TEXT(B267,"ddd")</f>
        <v>må</v>
      </c>
      <c r="B267" s="24" t="n">
        <v>43808</v>
      </c>
      <c r="C267" s="25"/>
      <c r="D267" s="26"/>
      <c r="E267" s="26"/>
      <c r="F267" s="22"/>
      <c r="H267" s="41"/>
      <c r="I267" s="47" t="n">
        <f aca="false">H267/10</f>
        <v>0</v>
      </c>
      <c r="J267" s="60" t="n">
        <f aca="false">IF(H267=0,0,E267/H267*10)</f>
        <v>0</v>
      </c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customFormat="false" ht="69" hidden="false" customHeight="true" outlineLevel="0" collapsed="false">
      <c r="A268" s="23" t="str">
        <f aca="false">TEXT(B268,"ddd")</f>
        <v>ti</v>
      </c>
      <c r="B268" s="24" t="n">
        <v>43809</v>
      </c>
      <c r="C268" s="25"/>
      <c r="D268" s="26"/>
      <c r="E268" s="26"/>
      <c r="F268" s="22"/>
      <c r="H268" s="41"/>
      <c r="I268" s="47" t="n">
        <f aca="false">H268/10</f>
        <v>0</v>
      </c>
      <c r="J268" s="60" t="n">
        <f aca="false">IF(H268=0,0,E268/H268*10)</f>
        <v>0</v>
      </c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customFormat="false" ht="69" hidden="false" customHeight="true" outlineLevel="0" collapsed="false">
      <c r="A269" s="23" t="str">
        <f aca="false">TEXT(B269,"ddd")</f>
        <v>on</v>
      </c>
      <c r="B269" s="24" t="n">
        <v>43810</v>
      </c>
      <c r="C269" s="25"/>
      <c r="D269" s="26"/>
      <c r="E269" s="26"/>
      <c r="F269" s="22"/>
      <c r="H269" s="41"/>
      <c r="I269" s="47" t="n">
        <f aca="false">H269/10</f>
        <v>0</v>
      </c>
      <c r="J269" s="60" t="n">
        <f aca="false">IF(H269=0,0,E269/H269*10)</f>
        <v>0</v>
      </c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customFormat="false" ht="69" hidden="false" customHeight="true" outlineLevel="0" collapsed="false">
      <c r="A270" s="23" t="str">
        <f aca="false">TEXT(B270,"ddd")</f>
        <v>to</v>
      </c>
      <c r="B270" s="24" t="n">
        <v>43811</v>
      </c>
      <c r="C270" s="25"/>
      <c r="D270" s="26"/>
      <c r="E270" s="26"/>
      <c r="F270" s="22"/>
      <c r="H270" s="41"/>
      <c r="I270" s="47" t="n">
        <f aca="false">H270/10</f>
        <v>0</v>
      </c>
      <c r="J270" s="60" t="n">
        <f aca="false">IF(H270=0,0,E270/H270*10)</f>
        <v>0</v>
      </c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customFormat="false" ht="69" hidden="false" customHeight="true" outlineLevel="0" collapsed="false">
      <c r="A271" s="23" t="str">
        <f aca="false">TEXT(B271,"ddd")</f>
        <v>fr</v>
      </c>
      <c r="B271" s="24" t="n">
        <v>43812</v>
      </c>
      <c r="C271" s="25"/>
      <c r="D271" s="26"/>
      <c r="E271" s="26"/>
      <c r="F271" s="22"/>
      <c r="H271" s="41"/>
      <c r="I271" s="47" t="n">
        <f aca="false">H271/10</f>
        <v>0</v>
      </c>
      <c r="J271" s="60" t="n">
        <f aca="false">IF(H271=0,0,E271/H271*10)</f>
        <v>0</v>
      </c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customFormat="false" ht="69" hidden="false" customHeight="true" outlineLevel="0" collapsed="false">
      <c r="A272" s="23" t="str">
        <f aca="false">TEXT(B272,"ddd")</f>
        <v>lö</v>
      </c>
      <c r="B272" s="24" t="n">
        <v>43813</v>
      </c>
      <c r="C272" s="25"/>
      <c r="D272" s="26"/>
      <c r="E272" s="26"/>
      <c r="F272" s="22"/>
      <c r="H272" s="41"/>
      <c r="I272" s="47" t="n">
        <f aca="false">H272/10</f>
        <v>0</v>
      </c>
      <c r="J272" s="60" t="n">
        <f aca="false">IF(H272=0,0,E272/H272*10)</f>
        <v>0</v>
      </c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customFormat="false" ht="69" hidden="false" customHeight="true" outlineLevel="0" collapsed="false">
      <c r="A273" s="23" t="str">
        <f aca="false">TEXT(B273,"ddd")</f>
        <v>sö</v>
      </c>
      <c r="B273" s="24" t="n">
        <v>43814</v>
      </c>
      <c r="C273" s="25"/>
      <c r="D273" s="26"/>
      <c r="E273" s="26"/>
      <c r="F273" s="22"/>
      <c r="H273" s="41"/>
      <c r="I273" s="47" t="n">
        <f aca="false">H273/10</f>
        <v>0</v>
      </c>
      <c r="J273" s="60" t="n">
        <f aca="false">IF(H273=0,0,E273/H273*10)</f>
        <v>0</v>
      </c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customFormat="false" ht="69" hidden="false" customHeight="true" outlineLevel="0" collapsed="false">
      <c r="A274" s="23" t="str">
        <f aca="false">TEXT(B274,"ddd")</f>
        <v>må</v>
      </c>
      <c r="B274" s="24" t="n">
        <v>43815</v>
      </c>
      <c r="C274" s="25"/>
      <c r="D274" s="26"/>
      <c r="E274" s="26"/>
      <c r="F274" s="22"/>
      <c r="H274" s="41"/>
      <c r="I274" s="47" t="n">
        <f aca="false">H274/10</f>
        <v>0</v>
      </c>
      <c r="J274" s="60" t="n">
        <f aca="false">IF(H274=0,0,E274/H274*10)</f>
        <v>0</v>
      </c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customFormat="false" ht="69" hidden="false" customHeight="true" outlineLevel="0" collapsed="false">
      <c r="A275" s="23" t="str">
        <f aca="false">TEXT(B275,"ddd")</f>
        <v>ti</v>
      </c>
      <c r="B275" s="24" t="n">
        <v>43816</v>
      </c>
      <c r="C275" s="25"/>
      <c r="D275" s="26"/>
      <c r="E275" s="26"/>
      <c r="F275" s="22"/>
      <c r="H275" s="41"/>
      <c r="I275" s="47" t="n">
        <f aca="false">H275/10</f>
        <v>0</v>
      </c>
      <c r="J275" s="60" t="n">
        <f aca="false">IF(H275=0,0,E275/H275*10)</f>
        <v>0</v>
      </c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customFormat="false" ht="69" hidden="false" customHeight="true" outlineLevel="0" collapsed="false">
      <c r="A276" s="23" t="str">
        <f aca="false">TEXT(B276,"ddd")</f>
        <v>on</v>
      </c>
      <c r="B276" s="24" t="n">
        <v>43817</v>
      </c>
      <c r="C276" s="25"/>
      <c r="D276" s="26"/>
      <c r="E276" s="26"/>
      <c r="F276" s="22"/>
      <c r="H276" s="41"/>
      <c r="I276" s="47" t="n">
        <f aca="false">H276/10</f>
        <v>0</v>
      </c>
      <c r="J276" s="60" t="n">
        <f aca="false">IF(H276=0,0,E276/H276*10)</f>
        <v>0</v>
      </c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customFormat="false" ht="69" hidden="false" customHeight="true" outlineLevel="0" collapsed="false">
      <c r="A277" s="23" t="str">
        <f aca="false">TEXT(B277,"ddd")</f>
        <v>to</v>
      </c>
      <c r="B277" s="24" t="n">
        <v>43818</v>
      </c>
      <c r="C277" s="25"/>
      <c r="D277" s="26"/>
      <c r="E277" s="26"/>
      <c r="F277" s="22"/>
      <c r="H277" s="41"/>
      <c r="I277" s="47" t="n">
        <f aca="false">H277/10</f>
        <v>0</v>
      </c>
      <c r="J277" s="60" t="n">
        <f aca="false">IF(H277=0,0,E277/H277*10)</f>
        <v>0</v>
      </c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customFormat="false" ht="69" hidden="false" customHeight="true" outlineLevel="0" collapsed="false">
      <c r="A278" s="23" t="str">
        <f aca="false">TEXT(B278,"ddd")</f>
        <v>fr</v>
      </c>
      <c r="B278" s="24" t="n">
        <v>43819</v>
      </c>
      <c r="C278" s="25"/>
      <c r="D278" s="26"/>
      <c r="E278" s="26"/>
      <c r="F278" s="22"/>
      <c r="H278" s="41"/>
      <c r="I278" s="47" t="n">
        <f aca="false">H278/10</f>
        <v>0</v>
      </c>
      <c r="J278" s="60" t="n">
        <f aca="false">IF(H278=0,0,E278/H278*10)</f>
        <v>0</v>
      </c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customFormat="false" ht="69" hidden="false" customHeight="true" outlineLevel="0" collapsed="false">
      <c r="A279" s="23" t="str">
        <f aca="false">TEXT(B279,"ddd")</f>
        <v>lö</v>
      </c>
      <c r="B279" s="24" t="n">
        <v>43820</v>
      </c>
      <c r="C279" s="25"/>
      <c r="D279" s="26"/>
      <c r="E279" s="26"/>
      <c r="F279" s="22"/>
      <c r="H279" s="41"/>
      <c r="I279" s="47" t="n">
        <f aca="false">H279/10</f>
        <v>0</v>
      </c>
      <c r="J279" s="60" t="n">
        <f aca="false">IF(H279=0,0,E279/H279*10)</f>
        <v>0</v>
      </c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customFormat="false" ht="69" hidden="false" customHeight="true" outlineLevel="0" collapsed="false">
      <c r="A280" s="23" t="str">
        <f aca="false">TEXT(B280,"ddd")</f>
        <v>sö</v>
      </c>
      <c r="B280" s="24" t="n">
        <v>43821</v>
      </c>
      <c r="C280" s="25"/>
      <c r="D280" s="26"/>
      <c r="E280" s="26"/>
      <c r="F280" s="22"/>
      <c r="H280" s="41"/>
      <c r="I280" s="47" t="n">
        <f aca="false">H280/10</f>
        <v>0</v>
      </c>
      <c r="J280" s="60" t="n">
        <f aca="false">IF(H280=0,0,E280/H280*10)</f>
        <v>0</v>
      </c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customFormat="false" ht="69" hidden="false" customHeight="true" outlineLevel="0" collapsed="false">
      <c r="A281" s="23" t="str">
        <f aca="false">TEXT(B281,"ddd")</f>
        <v>må</v>
      </c>
      <c r="B281" s="24" t="n">
        <v>43822</v>
      </c>
      <c r="C281" s="25"/>
      <c r="D281" s="26"/>
      <c r="E281" s="26"/>
      <c r="F281" s="22"/>
      <c r="H281" s="41"/>
      <c r="I281" s="47" t="n">
        <f aca="false">H281/10</f>
        <v>0</v>
      </c>
      <c r="J281" s="60" t="n">
        <f aca="false">IF(H281=0,0,E281/H281*10)</f>
        <v>0</v>
      </c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customFormat="false" ht="69" hidden="false" customHeight="true" outlineLevel="0" collapsed="false">
      <c r="A282" s="23" t="str">
        <f aca="false">TEXT(B282,"ddd")</f>
        <v>ti</v>
      </c>
      <c r="B282" s="24" t="n">
        <v>43823</v>
      </c>
      <c r="C282" s="25"/>
      <c r="D282" s="26"/>
      <c r="E282" s="26"/>
      <c r="F282" s="22"/>
      <c r="H282" s="41"/>
      <c r="I282" s="47" t="n">
        <f aca="false">H282/10</f>
        <v>0</v>
      </c>
      <c r="J282" s="60" t="n">
        <f aca="false">IF(H282=0,0,E282/H282*10)</f>
        <v>0</v>
      </c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customFormat="false" ht="69" hidden="false" customHeight="true" outlineLevel="0" collapsed="false">
      <c r="A283" s="23" t="str">
        <f aca="false">TEXT(B283,"ddd")</f>
        <v>on</v>
      </c>
      <c r="B283" s="24" t="n">
        <v>43824</v>
      </c>
      <c r="C283" s="25"/>
      <c r="D283" s="26"/>
      <c r="E283" s="26"/>
      <c r="F283" s="22"/>
      <c r="H283" s="41"/>
      <c r="I283" s="47" t="n">
        <f aca="false">H283/10</f>
        <v>0</v>
      </c>
      <c r="J283" s="60" t="n">
        <f aca="false">IF(H283=0,0,E283/H283*10)</f>
        <v>0</v>
      </c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customFormat="false" ht="69" hidden="false" customHeight="true" outlineLevel="0" collapsed="false">
      <c r="A284" s="23" t="str">
        <f aca="false">TEXT(B284,"ddd")</f>
        <v>to</v>
      </c>
      <c r="B284" s="24" t="n">
        <v>43825</v>
      </c>
      <c r="C284" s="25"/>
      <c r="D284" s="26"/>
      <c r="E284" s="26"/>
      <c r="F284" s="22"/>
      <c r="H284" s="41"/>
      <c r="I284" s="47" t="n">
        <f aca="false">H284/10</f>
        <v>0</v>
      </c>
      <c r="J284" s="60" t="n">
        <f aca="false">IF(H284=0,0,E284/H284*10)</f>
        <v>0</v>
      </c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customFormat="false" ht="69" hidden="false" customHeight="true" outlineLevel="0" collapsed="false">
      <c r="A285" s="23" t="str">
        <f aca="false">TEXT(B285,"ddd")</f>
        <v>fr</v>
      </c>
      <c r="B285" s="24" t="n">
        <v>43826</v>
      </c>
      <c r="C285" s="25"/>
      <c r="D285" s="26"/>
      <c r="E285" s="26"/>
      <c r="F285" s="22"/>
      <c r="H285" s="41"/>
      <c r="I285" s="47" t="n">
        <f aca="false">H285/10</f>
        <v>0</v>
      </c>
      <c r="J285" s="60" t="n">
        <f aca="false">IF(H285=0,0,E285/H285*10)</f>
        <v>0</v>
      </c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customFormat="false" ht="69" hidden="false" customHeight="true" outlineLevel="0" collapsed="false">
      <c r="A286" s="23" t="str">
        <f aca="false">TEXT(B286,"ddd")</f>
        <v>lö</v>
      </c>
      <c r="B286" s="24" t="n">
        <v>43827</v>
      </c>
      <c r="C286" s="25"/>
      <c r="D286" s="26"/>
      <c r="E286" s="26"/>
      <c r="F286" s="22"/>
      <c r="H286" s="41"/>
      <c r="I286" s="47" t="n">
        <f aca="false">H286/10</f>
        <v>0</v>
      </c>
      <c r="J286" s="60" t="n">
        <f aca="false">IF(H286=0,0,E286/H286*10)</f>
        <v>0</v>
      </c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customFormat="false" ht="69" hidden="false" customHeight="true" outlineLevel="0" collapsed="false">
      <c r="A287" s="23" t="str">
        <f aca="false">TEXT(B287,"ddd")</f>
        <v>sö</v>
      </c>
      <c r="B287" s="24" t="n">
        <v>43828</v>
      </c>
      <c r="C287" s="25"/>
      <c r="D287" s="26"/>
      <c r="E287" s="26"/>
      <c r="F287" s="22"/>
      <c r="H287" s="41"/>
      <c r="I287" s="47" t="n">
        <f aca="false">H287/10</f>
        <v>0</v>
      </c>
      <c r="J287" s="60" t="n">
        <f aca="false">IF(H287=0,0,E287/H287*10)</f>
        <v>0</v>
      </c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customFormat="false" ht="69" hidden="false" customHeight="true" outlineLevel="0" collapsed="false">
      <c r="A288" s="23" t="str">
        <f aca="false">TEXT(B288,"ddd")</f>
        <v>må</v>
      </c>
      <c r="B288" s="24" t="n">
        <v>43829</v>
      </c>
      <c r="C288" s="25"/>
      <c r="D288" s="26"/>
      <c r="E288" s="26"/>
      <c r="F288" s="22"/>
      <c r="H288" s="41"/>
      <c r="I288" s="47" t="n">
        <f aca="false">H288/10</f>
        <v>0</v>
      </c>
      <c r="J288" s="60" t="n">
        <f aca="false">IF(H288=0,0,E288/H288*10)</f>
        <v>0</v>
      </c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customFormat="false" ht="69" hidden="false" customHeight="true" outlineLevel="0" collapsed="false">
      <c r="A289" s="23" t="str">
        <f aca="false">TEXT(B289,"ddd")</f>
        <v>ti</v>
      </c>
      <c r="B289" s="24" t="n">
        <v>43830</v>
      </c>
      <c r="C289" s="25"/>
      <c r="D289" s="26"/>
      <c r="E289" s="26"/>
      <c r="F289" s="22"/>
      <c r="H289" s="41"/>
      <c r="I289" s="47" t="n">
        <f aca="false">H289/10</f>
        <v>0</v>
      </c>
      <c r="J289" s="60" t="n">
        <f aca="false">IF(H289=0,0,E289/H289*10)</f>
        <v>0</v>
      </c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customFormat="false" ht="14.25" hidden="false" customHeight="false" outlineLevel="0" collapsed="false">
      <c r="A290" s="40"/>
      <c r="B290" s="40"/>
      <c r="C290" s="40"/>
      <c r="D290" s="41"/>
      <c r="E290" s="41"/>
      <c r="H290" s="41"/>
      <c r="I290" s="41"/>
      <c r="J290" s="4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customFormat="false" ht="14.25" hidden="false" customHeight="false" outlineLevel="0" collapsed="false">
      <c r="A291" s="40"/>
      <c r="B291" s="40"/>
      <c r="C291" s="40"/>
      <c r="D291" s="41"/>
      <c r="E291" s="41"/>
      <c r="H291" s="41"/>
      <c r="I291" s="41"/>
      <c r="J291" s="4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customFormat="false" ht="14.25" hidden="false" customHeight="false" outlineLevel="0" collapsed="false">
      <c r="A292" s="40"/>
      <c r="B292" s="40"/>
      <c r="C292" s="40"/>
      <c r="D292" s="41"/>
      <c r="E292" s="41"/>
      <c r="H292" s="41"/>
      <c r="I292" s="41"/>
      <c r="J292" s="4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customFormat="false" ht="14.25" hidden="false" customHeight="false" outlineLevel="0" collapsed="false">
      <c r="A293" s="40"/>
      <c r="B293" s="40"/>
      <c r="C293" s="40"/>
      <c r="D293" s="41"/>
      <c r="E293" s="41"/>
      <c r="H293" s="41"/>
      <c r="I293" s="41"/>
      <c r="J293" s="4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customFormat="false" ht="14.25" hidden="false" customHeight="false" outlineLevel="0" collapsed="false">
      <c r="A294" s="40"/>
      <c r="B294" s="40"/>
      <c r="C294" s="40"/>
      <c r="D294" s="41"/>
      <c r="E294" s="41"/>
      <c r="H294" s="41"/>
      <c r="I294" s="41"/>
      <c r="J294" s="4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customFormat="false" ht="14.25" hidden="false" customHeight="false" outlineLevel="0" collapsed="false">
      <c r="A295" s="40"/>
      <c r="B295" s="40"/>
      <c r="C295" s="40"/>
      <c r="D295" s="41"/>
      <c r="E295" s="41"/>
      <c r="H295" s="41"/>
      <c r="I295" s="41"/>
      <c r="J295" s="4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customFormat="false" ht="14.25" hidden="false" customHeight="false" outlineLevel="0" collapsed="false">
      <c r="A296" s="40"/>
      <c r="B296" s="40"/>
      <c r="C296" s="40"/>
      <c r="D296" s="41"/>
      <c r="E296" s="41"/>
      <c r="H296" s="41"/>
      <c r="I296" s="41"/>
      <c r="J296" s="4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customFormat="false" ht="14.25" hidden="false" customHeight="false" outlineLevel="0" collapsed="false">
      <c r="A297" s="40"/>
      <c r="B297" s="40"/>
      <c r="C297" s="40"/>
      <c r="D297" s="41"/>
      <c r="E297" s="41"/>
      <c r="H297" s="41"/>
      <c r="I297" s="41"/>
      <c r="J297" s="4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customFormat="false" ht="14.25" hidden="false" customHeight="false" outlineLevel="0" collapsed="false">
      <c r="J298" s="4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customFormat="false" ht="14.25" hidden="false" customHeight="false" outlineLevel="0" collapsed="false">
      <c r="J299" s="4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customFormat="false" ht="14.25" hidden="false" customHeight="false" outlineLevel="0" collapsed="false">
      <c r="J300" s="4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customFormat="false" ht="14.25" hidden="false" customHeight="false" outlineLevel="0" collapsed="false">
      <c r="J301" s="4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customFormat="false" ht="14.25" hidden="false" customHeight="false" outlineLevel="0" collapsed="false">
      <c r="J302" s="4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customFormat="false" ht="14.25" hidden="false" customHeight="false" outlineLevel="0" collapsed="false">
      <c r="J303" s="4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customFormat="false" ht="14.25" hidden="false" customHeight="false" outlineLevel="0" collapsed="false">
      <c r="J304" s="4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customFormat="false" ht="14.25" hidden="false" customHeight="false" outlineLevel="0" collapsed="false">
      <c r="J305" s="4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customFormat="false" ht="14.25" hidden="false" customHeight="false" outlineLevel="0" collapsed="false">
      <c r="J306" s="4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customFormat="false" ht="14.25" hidden="false" customHeight="false" outlineLevel="0" collapsed="false">
      <c r="J307" s="4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customFormat="false" ht="14.25" hidden="false" customHeight="false" outlineLevel="0" collapsed="false">
      <c r="J308" s="4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customFormat="false" ht="14.25" hidden="false" customHeight="false" outlineLevel="0" collapsed="false">
      <c r="J309" s="4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customFormat="false" ht="14.25" hidden="false" customHeight="false" outlineLevel="0" collapsed="false">
      <c r="J310" s="4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customFormat="false" ht="14.25" hidden="false" customHeight="false" outlineLevel="0" collapsed="false">
      <c r="J311" s="4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customFormat="false" ht="14.25" hidden="false" customHeight="false" outlineLevel="0" collapsed="false">
      <c r="J312" s="4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customFormat="false" ht="14.25" hidden="false" customHeight="false" outlineLevel="0" collapsed="false">
      <c r="J313" s="4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customFormat="false" ht="14.25" hidden="false" customHeight="false" outlineLevel="0" collapsed="false">
      <c r="J314" s="4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customFormat="false" ht="14.25" hidden="false" customHeight="false" outlineLevel="0" collapsed="false">
      <c r="J315" s="4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customFormat="false" ht="14.25" hidden="false" customHeight="false" outlineLevel="0" collapsed="false">
      <c r="J316" s="4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customFormat="false" ht="14.25" hidden="false" customHeight="false" outlineLevel="0" collapsed="false">
      <c r="J317" s="4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customFormat="false" ht="14.25" hidden="false" customHeight="false" outlineLevel="0" collapsed="false">
      <c r="J318" s="4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customFormat="false" ht="14.25" hidden="false" customHeight="false" outlineLevel="0" collapsed="false">
      <c r="J319" s="4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customFormat="false" ht="14.25" hidden="false" customHeight="false" outlineLevel="0" collapsed="false">
      <c r="J320" s="4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customFormat="false" ht="14.25" hidden="false" customHeight="false" outlineLevel="0" collapsed="false">
      <c r="J321" s="4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customFormat="false" ht="14.25" hidden="false" customHeight="false" outlineLevel="0" collapsed="false">
      <c r="J322" s="4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customFormat="false" ht="14.25" hidden="false" customHeight="false" outlineLevel="0" collapsed="false">
      <c r="J323" s="4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customFormat="false" ht="14.25" hidden="false" customHeight="false" outlineLevel="0" collapsed="false">
      <c r="J324" s="4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customFormat="false" ht="14.25" hidden="false" customHeight="false" outlineLevel="0" collapsed="false">
      <c r="J325" s="4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customFormat="false" ht="14.25" hidden="false" customHeight="false" outlineLevel="0" collapsed="false">
      <c r="J326" s="4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customFormat="false" ht="14.25" hidden="false" customHeight="false" outlineLevel="0" collapsed="false">
      <c r="J327" s="4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customFormat="false" ht="14.25" hidden="false" customHeight="false" outlineLevel="0" collapsed="false">
      <c r="J328" s="4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customFormat="false" ht="14.25" hidden="false" customHeight="false" outlineLevel="0" collapsed="false">
      <c r="J329" s="4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customFormat="false" ht="14.25" hidden="false" customHeight="false" outlineLevel="0" collapsed="false">
      <c r="J330" s="4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customFormat="false" ht="14.25" hidden="false" customHeight="false" outlineLevel="0" collapsed="false">
      <c r="J331" s="4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customFormat="false" ht="14.25" hidden="false" customHeight="false" outlineLevel="0" collapsed="false">
      <c r="J332" s="4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customFormat="false" ht="14.25" hidden="false" customHeight="false" outlineLevel="0" collapsed="false">
      <c r="J333" s="4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customFormat="false" ht="14.25" hidden="false" customHeight="false" outlineLevel="0" collapsed="false">
      <c r="J334" s="4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customFormat="false" ht="14.25" hidden="false" customHeight="false" outlineLevel="0" collapsed="false">
      <c r="J335" s="4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customFormat="false" ht="14.25" hidden="false" customHeight="false" outlineLevel="0" collapsed="false">
      <c r="J336" s="4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customFormat="false" ht="14.25" hidden="false" customHeight="false" outlineLevel="0" collapsed="false">
      <c r="J337" s="4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customFormat="false" ht="14.25" hidden="false" customHeight="false" outlineLevel="0" collapsed="false">
      <c r="J338" s="4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customFormat="false" ht="14.25" hidden="false" customHeight="false" outlineLevel="0" collapsed="false">
      <c r="J339" s="4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customFormat="false" ht="14.25" hidden="false" customHeight="false" outlineLevel="0" collapsed="false">
      <c r="J340" s="4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customFormat="false" ht="14.25" hidden="false" customHeight="false" outlineLevel="0" collapsed="false">
      <c r="J341" s="4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customFormat="false" ht="14.25" hidden="false" customHeight="false" outlineLevel="0" collapsed="false">
      <c r="J342" s="4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customFormat="false" ht="14.25" hidden="false" customHeight="false" outlineLevel="0" collapsed="false">
      <c r="J343" s="4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customFormat="false" ht="14.25" hidden="false" customHeight="false" outlineLevel="0" collapsed="false">
      <c r="J344" s="4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customFormat="false" ht="14.25" hidden="false" customHeight="false" outlineLevel="0" collapsed="false">
      <c r="J345" s="4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customFormat="false" ht="14.25" hidden="false" customHeight="false" outlineLevel="0" collapsed="false">
      <c r="J346" s="4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customFormat="false" ht="14.25" hidden="false" customHeight="false" outlineLevel="0" collapsed="false">
      <c r="J347" s="4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customFormat="false" ht="14.25" hidden="false" customHeight="false" outlineLevel="0" collapsed="false">
      <c r="J348" s="4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customFormat="false" ht="14.25" hidden="false" customHeight="false" outlineLevel="0" collapsed="false">
      <c r="J349" s="4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customFormat="false" ht="14.25" hidden="false" customHeight="false" outlineLevel="0" collapsed="false">
      <c r="J350" s="4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customFormat="false" ht="14.25" hidden="false" customHeight="false" outlineLevel="0" collapsed="false">
      <c r="J351" s="4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customFormat="false" ht="14.25" hidden="false" customHeight="false" outlineLevel="0" collapsed="false">
      <c r="J352" s="4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customFormat="false" ht="14.25" hidden="false" customHeight="false" outlineLevel="0" collapsed="false">
      <c r="J353" s="4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customFormat="false" ht="14.25" hidden="false" customHeight="false" outlineLevel="0" collapsed="false">
      <c r="J354" s="4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customFormat="false" ht="14.25" hidden="false" customHeight="false" outlineLevel="0" collapsed="false">
      <c r="J355" s="4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customFormat="false" ht="14.25" hidden="false" customHeight="false" outlineLevel="0" collapsed="false">
      <c r="J356" s="4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customFormat="false" ht="14.25" hidden="false" customHeight="false" outlineLevel="0" collapsed="false">
      <c r="J357" s="4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customFormat="false" ht="14.25" hidden="false" customHeight="false" outlineLevel="0" collapsed="false">
      <c r="J358" s="4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customFormat="false" ht="14.25" hidden="false" customHeight="false" outlineLevel="0" collapsed="false">
      <c r="J359" s="4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customFormat="false" ht="14.25" hidden="false" customHeight="false" outlineLevel="0" collapsed="false">
      <c r="J360" s="4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customFormat="false" ht="14.25" hidden="false" customHeight="false" outlineLevel="0" collapsed="false">
      <c r="J361" s="4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customFormat="false" ht="14.25" hidden="false" customHeight="false" outlineLevel="0" collapsed="false">
      <c r="J362" s="4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customFormat="false" ht="14.25" hidden="false" customHeight="false" outlineLevel="0" collapsed="false">
      <c r="J363" s="4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customFormat="false" ht="14.25" hidden="false" customHeight="false" outlineLevel="0" collapsed="false">
      <c r="J364" s="4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customFormat="false" ht="14.25" hidden="false" customHeight="false" outlineLevel="0" collapsed="false">
      <c r="J365" s="4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customFormat="false" ht="14.25" hidden="false" customHeight="false" outlineLevel="0" collapsed="false">
      <c r="J366" s="4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customFormat="false" ht="14.25" hidden="false" customHeight="false" outlineLevel="0" collapsed="false">
      <c r="J367" s="4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customFormat="false" ht="14.25" hidden="false" customHeight="false" outlineLevel="0" collapsed="false">
      <c r="J368" s="4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customFormat="false" ht="14.25" hidden="false" customHeight="false" outlineLevel="0" collapsed="false">
      <c r="J369" s="4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customFormat="false" ht="14.25" hidden="false" customHeight="false" outlineLevel="0" collapsed="false">
      <c r="J370" s="4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customFormat="false" ht="14.25" hidden="false" customHeight="false" outlineLevel="0" collapsed="false">
      <c r="J371" s="4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customFormat="false" ht="14.25" hidden="false" customHeight="false" outlineLevel="0" collapsed="false">
      <c r="J372" s="4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customFormat="false" ht="14.25" hidden="false" customHeight="false" outlineLevel="0" collapsed="false">
      <c r="J373" s="4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customFormat="false" ht="14.25" hidden="false" customHeight="false" outlineLevel="0" collapsed="false">
      <c r="J374" s="4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customFormat="false" ht="14.25" hidden="false" customHeight="false" outlineLevel="0" collapsed="false">
      <c r="J375" s="4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customFormat="false" ht="14.25" hidden="false" customHeight="false" outlineLevel="0" collapsed="false">
      <c r="J376" s="4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customFormat="false" ht="14.25" hidden="false" customHeight="false" outlineLevel="0" collapsed="false">
      <c r="J377" s="4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customFormat="false" ht="14.25" hidden="false" customHeight="false" outlineLevel="0" collapsed="false">
      <c r="J378" s="4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customFormat="false" ht="14.25" hidden="false" customHeight="false" outlineLevel="0" collapsed="false">
      <c r="J379" s="4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customFormat="false" ht="14.25" hidden="false" customHeight="false" outlineLevel="0" collapsed="false">
      <c r="J380" s="4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customFormat="false" ht="14.25" hidden="false" customHeight="false" outlineLevel="0" collapsed="false">
      <c r="J381" s="4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customFormat="false" ht="14.25" hidden="false" customHeight="false" outlineLevel="0" collapsed="false">
      <c r="J382" s="4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customFormat="false" ht="14.25" hidden="false" customHeight="false" outlineLevel="0" collapsed="false">
      <c r="J383" s="4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customFormat="false" ht="14.25" hidden="false" customHeight="false" outlineLevel="0" collapsed="false">
      <c r="J384" s="4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customFormat="false" ht="14.25" hidden="false" customHeight="false" outlineLevel="0" collapsed="false">
      <c r="J385" s="4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customFormat="false" ht="14.25" hidden="false" customHeight="false" outlineLevel="0" collapsed="false">
      <c r="J386" s="4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customFormat="false" ht="14.25" hidden="false" customHeight="false" outlineLevel="0" collapsed="false">
      <c r="J387" s="4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customFormat="false" ht="14.25" hidden="false" customHeight="false" outlineLevel="0" collapsed="false">
      <c r="J388" s="4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customFormat="false" ht="14.25" hidden="false" customHeight="false" outlineLevel="0" collapsed="false">
      <c r="J389" s="4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customFormat="false" ht="14.25" hidden="false" customHeight="false" outlineLevel="0" collapsed="false">
      <c r="J390" s="4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customFormat="false" ht="14.25" hidden="false" customHeight="false" outlineLevel="0" collapsed="false">
      <c r="J391" s="4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customFormat="false" ht="14.25" hidden="false" customHeight="false" outlineLevel="0" collapsed="false">
      <c r="J392" s="4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customFormat="false" ht="14.25" hidden="false" customHeight="false" outlineLevel="0" collapsed="false">
      <c r="J393" s="4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customFormat="false" ht="14.25" hidden="false" customHeight="false" outlineLevel="0" collapsed="false">
      <c r="J394" s="4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customFormat="false" ht="14.25" hidden="false" customHeight="false" outlineLevel="0" collapsed="false">
      <c r="J395" s="4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customFormat="false" ht="14.25" hidden="false" customHeight="false" outlineLevel="0" collapsed="false">
      <c r="J396" s="4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customFormat="false" ht="14.25" hidden="false" customHeight="false" outlineLevel="0" collapsed="false">
      <c r="J397" s="4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customFormat="false" ht="14.25" hidden="false" customHeight="false" outlineLevel="0" collapsed="false">
      <c r="J398" s="4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customFormat="false" ht="14.25" hidden="false" customHeight="false" outlineLevel="0" collapsed="false">
      <c r="J399" s="4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customFormat="false" ht="14.25" hidden="false" customHeight="false" outlineLevel="0" collapsed="false">
      <c r="J400" s="4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customFormat="false" ht="14.25" hidden="false" customHeight="false" outlineLevel="0" collapsed="false">
      <c r="J401" s="4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customFormat="false" ht="14.25" hidden="false" customHeight="false" outlineLevel="0" collapsed="false">
      <c r="J402" s="4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customFormat="false" ht="14.25" hidden="false" customHeight="false" outlineLevel="0" collapsed="false">
      <c r="J403" s="4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customFormat="false" ht="14.25" hidden="false" customHeight="false" outlineLevel="0" collapsed="false">
      <c r="J404" s="4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customFormat="false" ht="14.25" hidden="false" customHeight="false" outlineLevel="0" collapsed="false">
      <c r="J405" s="4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customFormat="false" ht="14.25" hidden="false" customHeight="false" outlineLevel="0" collapsed="false">
      <c r="J406" s="4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customFormat="false" ht="14.25" hidden="false" customHeight="false" outlineLevel="0" collapsed="false">
      <c r="J407" s="4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customFormat="false" ht="14.25" hidden="false" customHeight="false" outlineLevel="0" collapsed="false">
      <c r="J408" s="4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customFormat="false" ht="14.25" hidden="false" customHeight="false" outlineLevel="0" collapsed="false">
      <c r="J409" s="4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customFormat="false" ht="14.25" hidden="false" customHeight="false" outlineLevel="0" collapsed="false">
      <c r="J410" s="4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customFormat="false" ht="14.25" hidden="false" customHeight="false" outlineLevel="0" collapsed="false">
      <c r="J411" s="4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customFormat="false" ht="14.25" hidden="false" customHeight="false" outlineLevel="0" collapsed="false">
      <c r="J412" s="4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customFormat="false" ht="14.25" hidden="false" customHeight="false" outlineLevel="0" collapsed="false">
      <c r="J413" s="4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customFormat="false" ht="14.25" hidden="false" customHeight="false" outlineLevel="0" collapsed="false">
      <c r="J414" s="4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customFormat="false" ht="14.25" hidden="false" customHeight="false" outlineLevel="0" collapsed="false">
      <c r="J415" s="4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customFormat="false" ht="14.25" hidden="false" customHeight="false" outlineLevel="0" collapsed="false">
      <c r="J416" s="4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customFormat="false" ht="14.25" hidden="false" customHeight="false" outlineLevel="0" collapsed="false">
      <c r="J417" s="4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customFormat="false" ht="14.25" hidden="false" customHeight="false" outlineLevel="0" collapsed="false">
      <c r="J418" s="4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customFormat="false" ht="14.25" hidden="false" customHeight="false" outlineLevel="0" collapsed="false">
      <c r="J419" s="4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customFormat="false" ht="14.25" hidden="false" customHeight="false" outlineLevel="0" collapsed="false">
      <c r="J420" s="4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customFormat="false" ht="14.25" hidden="false" customHeight="false" outlineLevel="0" collapsed="false">
      <c r="J421" s="4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customFormat="false" ht="14.25" hidden="false" customHeight="false" outlineLevel="0" collapsed="false">
      <c r="J422" s="4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customFormat="false" ht="14.25" hidden="false" customHeight="false" outlineLevel="0" collapsed="false">
      <c r="J423" s="4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customFormat="false" ht="14.25" hidden="false" customHeight="false" outlineLevel="0" collapsed="false">
      <c r="J424" s="4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customFormat="false" ht="14.25" hidden="false" customHeight="false" outlineLevel="0" collapsed="false">
      <c r="J425" s="4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customFormat="false" ht="14.25" hidden="false" customHeight="false" outlineLevel="0" collapsed="false">
      <c r="J426" s="4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customFormat="false" ht="14.25" hidden="false" customHeight="false" outlineLevel="0" collapsed="false">
      <c r="J427" s="4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customFormat="false" ht="14.25" hidden="false" customHeight="false" outlineLevel="0" collapsed="false">
      <c r="J428" s="4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customFormat="false" ht="14.25" hidden="false" customHeight="false" outlineLevel="0" collapsed="false">
      <c r="J429" s="4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customFormat="false" ht="14.25" hidden="false" customHeight="false" outlineLevel="0" collapsed="false">
      <c r="J430" s="4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customFormat="false" ht="14.25" hidden="false" customHeight="false" outlineLevel="0" collapsed="false">
      <c r="J431" s="4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customFormat="false" ht="14.25" hidden="false" customHeight="false" outlineLevel="0" collapsed="false">
      <c r="J432" s="4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customFormat="false" ht="14.25" hidden="false" customHeight="false" outlineLevel="0" collapsed="false">
      <c r="J433" s="4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customFormat="false" ht="14.25" hidden="false" customHeight="false" outlineLevel="0" collapsed="false">
      <c r="J434" s="4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customFormat="false" ht="14.25" hidden="false" customHeight="false" outlineLevel="0" collapsed="false">
      <c r="J435" s="4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</sheetData>
  <printOptions headings="false" gridLines="true" gridLinesSet="true" horizontalCentered="false" verticalCentered="false"/>
  <pageMargins left="0.315277777777778" right="0.315277777777778" top="0.551388888888889" bottom="0.551388888888889" header="0.315277777777778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&amp;L&amp;"-,Kursiv"&amp;12Weekly report to Swedish Tax Agency </oddHeader>
    <oddFooter>&amp;CDeposit date remittance amount:__________________________________________________________&amp;RBank fee 
50 peso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3" activeCellId="1" sqref="B1:D1 B23"/>
    </sheetView>
  </sheetViews>
  <sheetFormatPr defaultColWidth="11.5" defaultRowHeight="15.8" customHeight="false" zeroHeight="false" outlineLevelRow="0" outlineLevelCol="0"/>
  <cols>
    <col collapsed="false" customWidth="true" hidden="false" outlineLevel="0" max="3" min="3" style="0" width="35.02"/>
    <col collapsed="false" customWidth="false" hidden="true" outlineLevel="0" max="5" min="4" style="0" width="11.5"/>
    <col collapsed="false" customWidth="true" hidden="false" outlineLevel="0" max="7" min="7" style="62" width="3.95"/>
  </cols>
  <sheetData>
    <row r="1" customFormat="false" ht="38.1" hidden="false" customHeight="false" outlineLevel="0" collapsed="false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63"/>
      <c r="H1" s="11" t="s">
        <v>6</v>
      </c>
    </row>
    <row r="2" customFormat="false" ht="29.85" hidden="false" customHeight="false" outlineLevel="0" collapsed="false">
      <c r="A2" s="64" t="s">
        <v>21</v>
      </c>
      <c r="B2" s="65" t="n">
        <v>46055</v>
      </c>
      <c r="C2" s="66" t="s">
        <v>22</v>
      </c>
      <c r="D2" s="67" t="n">
        <v>3700</v>
      </c>
      <c r="E2" s="67" t="n">
        <v>1359.48</v>
      </c>
      <c r="F2" s="68" t="n">
        <f aca="false">(D2-E2)*0.25</f>
        <v>585.13</v>
      </c>
      <c r="G2" s="69"/>
      <c r="H2" s="70" t="n">
        <f aca="false">(D2-E2)-F2</f>
        <v>1755.39</v>
      </c>
    </row>
    <row r="3" customFormat="false" ht="19.35" hidden="false" customHeight="false" outlineLevel="0" collapsed="false">
      <c r="A3" s="64" t="s">
        <v>23</v>
      </c>
      <c r="B3" s="65" t="n">
        <v>46056</v>
      </c>
      <c r="C3" s="66" t="s">
        <v>24</v>
      </c>
      <c r="D3" s="67" t="n">
        <v>0</v>
      </c>
      <c r="E3" s="67" t="n">
        <v>0</v>
      </c>
      <c r="F3" s="68" t="n">
        <f aca="false">(D3-E3)*0.25</f>
        <v>0</v>
      </c>
      <c r="G3" s="69"/>
      <c r="H3" s="70" t="n">
        <f aca="false">(D3-E3)-F3</f>
        <v>0</v>
      </c>
    </row>
    <row r="4" customFormat="false" ht="19.35" hidden="false" customHeight="false" outlineLevel="0" collapsed="false">
      <c r="A4" s="64" t="s">
        <v>25</v>
      </c>
      <c r="B4" s="65" t="n">
        <v>46057</v>
      </c>
      <c r="C4" s="66" t="s">
        <v>26</v>
      </c>
      <c r="D4" s="67"/>
      <c r="E4" s="67"/>
      <c r="F4" s="68" t="n">
        <f aca="false">(D4-E4)*0.25</f>
        <v>0</v>
      </c>
      <c r="G4" s="69"/>
      <c r="H4" s="70" t="n">
        <f aca="false">(D4-E4)-F4</f>
        <v>0</v>
      </c>
    </row>
    <row r="5" customFormat="false" ht="29.85" hidden="false" customHeight="false" outlineLevel="0" collapsed="false">
      <c r="A5" s="64" t="s">
        <v>27</v>
      </c>
      <c r="B5" s="65" t="n">
        <v>46058</v>
      </c>
      <c r="C5" s="66" t="s">
        <v>28</v>
      </c>
      <c r="D5" s="67" t="n">
        <v>3500</v>
      </c>
      <c r="E5" s="67" t="n">
        <v>1141.32</v>
      </c>
      <c r="F5" s="68" t="n">
        <f aca="false">(D5-E5)*0.25</f>
        <v>589.67</v>
      </c>
      <c r="G5" s="69"/>
      <c r="H5" s="70" t="n">
        <f aca="false">(D5-E5)-F5</f>
        <v>1769.01</v>
      </c>
    </row>
    <row r="6" customFormat="false" ht="19.35" hidden="false" customHeight="false" outlineLevel="0" collapsed="false">
      <c r="A6" s="64" t="s">
        <v>32</v>
      </c>
      <c r="B6" s="65" t="n">
        <v>46062</v>
      </c>
      <c r="C6" s="66" t="s">
        <v>33</v>
      </c>
      <c r="D6" s="67" t="n">
        <v>2800</v>
      </c>
      <c r="E6" s="67" t="n">
        <v>800</v>
      </c>
      <c r="F6" s="68" t="n">
        <f aca="false">(D6-E6)*0.25</f>
        <v>500</v>
      </c>
      <c r="G6" s="69"/>
      <c r="H6" s="70" t="n">
        <f aca="false">(D6-E6)-F6</f>
        <v>1500</v>
      </c>
    </row>
    <row r="7" customFormat="false" ht="19.35" hidden="false" customHeight="false" outlineLevel="0" collapsed="false">
      <c r="A7" s="64" t="s">
        <v>34</v>
      </c>
      <c r="B7" s="65" t="n">
        <v>46063</v>
      </c>
      <c r="C7" s="66" t="s">
        <v>35</v>
      </c>
      <c r="D7" s="67" t="n">
        <v>3500</v>
      </c>
      <c r="E7" s="67" t="n">
        <v>1100</v>
      </c>
      <c r="F7" s="68" t="n">
        <f aca="false">(D7-E7)*0.25</f>
        <v>600</v>
      </c>
      <c r="G7" s="69"/>
      <c r="H7" s="70" t="n">
        <f aca="false">(D7-E7)-F7</f>
        <v>1800</v>
      </c>
    </row>
    <row r="8" customFormat="false" ht="29.85" hidden="false" customHeight="false" outlineLevel="0" collapsed="false">
      <c r="A8" s="64" t="s">
        <v>36</v>
      </c>
      <c r="B8" s="65" t="n">
        <v>46064</v>
      </c>
      <c r="C8" s="66" t="s">
        <v>37</v>
      </c>
      <c r="D8" s="67" t="n">
        <v>800</v>
      </c>
      <c r="E8" s="67" t="n">
        <v>300</v>
      </c>
      <c r="F8" s="68" t="n">
        <f aca="false">(D8-E8)*0.25</f>
        <v>125</v>
      </c>
      <c r="G8" s="69"/>
      <c r="H8" s="70" t="n">
        <f aca="false">(D8-E8)-F8</f>
        <v>375</v>
      </c>
    </row>
    <row r="9" customFormat="false" ht="19.35" hidden="false" customHeight="false" outlineLevel="0" collapsed="false">
      <c r="A9" s="64" t="s">
        <v>38</v>
      </c>
      <c r="B9" s="65" t="n">
        <v>46065</v>
      </c>
      <c r="C9" s="66" t="s">
        <v>26</v>
      </c>
      <c r="D9" s="67"/>
      <c r="E9" s="67"/>
      <c r="F9" s="68" t="n">
        <f aca="false">(D9-E9)*0.25</f>
        <v>0</v>
      </c>
      <c r="G9" s="69"/>
      <c r="H9" s="70" t="n">
        <f aca="false">(D9-E9)-F9</f>
        <v>0</v>
      </c>
    </row>
    <row r="10" customFormat="false" ht="50.55" hidden="false" customHeight="true" outlineLevel="0" collapsed="false">
      <c r="A10" s="64" t="s">
        <v>39</v>
      </c>
      <c r="B10" s="65" t="n">
        <v>46066</v>
      </c>
      <c r="C10" s="66" t="s">
        <v>40</v>
      </c>
      <c r="D10" s="67"/>
      <c r="E10" s="67"/>
      <c r="F10" s="68" t="n">
        <f aca="false">(D10-E10)*0.25</f>
        <v>0</v>
      </c>
      <c r="G10" s="69"/>
      <c r="H10" s="70" t="n">
        <f aca="false">(D10-E10)-F10</f>
        <v>0</v>
      </c>
    </row>
    <row r="11" customFormat="false" ht="29.85" hidden="false" customHeight="false" outlineLevel="0" collapsed="false">
      <c r="A11" s="64" t="s">
        <v>30</v>
      </c>
      <c r="B11" s="65" t="n">
        <v>46067</v>
      </c>
      <c r="C11" s="66" t="s">
        <v>41</v>
      </c>
      <c r="D11" s="67"/>
      <c r="E11" s="67"/>
      <c r="F11" s="68" t="n">
        <f aca="false">(D11-E11)*0.25</f>
        <v>0</v>
      </c>
      <c r="G11" s="69"/>
      <c r="H11" s="70" t="n">
        <f aca="false">(D11-E11)-F11</f>
        <v>0</v>
      </c>
    </row>
    <row r="12" customFormat="false" ht="19.35" hidden="false" customHeight="false" outlineLevel="0" collapsed="false">
      <c r="A12" s="64" t="s">
        <v>31</v>
      </c>
      <c r="B12" s="65" t="n">
        <v>46068</v>
      </c>
      <c r="C12" s="66" t="s">
        <v>26</v>
      </c>
      <c r="D12" s="67"/>
      <c r="E12" s="67"/>
      <c r="F12" s="68" t="n">
        <f aca="false">(D12-E12)*0.25</f>
        <v>0</v>
      </c>
      <c r="G12" s="69"/>
      <c r="H12" s="70" t="n">
        <f aca="false">(D12-E12)-F12</f>
        <v>0</v>
      </c>
    </row>
    <row r="13" customFormat="false" ht="53.7" hidden="false" customHeight="false" outlineLevel="0" collapsed="false">
      <c r="A13" s="64" t="s">
        <v>32</v>
      </c>
      <c r="B13" s="65" t="n">
        <v>46069</v>
      </c>
      <c r="C13" s="66" t="s">
        <v>42</v>
      </c>
      <c r="D13" s="67" t="n">
        <v>5600</v>
      </c>
      <c r="E13" s="67" t="n">
        <v>2000</v>
      </c>
      <c r="F13" s="68" t="n">
        <f aca="false">(D13-E13)*0.25</f>
        <v>900</v>
      </c>
      <c r="G13" s="69"/>
      <c r="H13" s="70" t="n">
        <f aca="false">(D13-E13)-F13</f>
        <v>2700</v>
      </c>
    </row>
    <row r="14" customFormat="false" ht="53.7" hidden="false" customHeight="false" outlineLevel="0" collapsed="false">
      <c r="A14" s="64" t="s">
        <v>34</v>
      </c>
      <c r="B14" s="65" t="n">
        <v>46070</v>
      </c>
      <c r="C14" s="66" t="s">
        <v>43</v>
      </c>
      <c r="D14" s="67"/>
      <c r="E14" s="67"/>
      <c r="F14" s="68" t="n">
        <f aca="false">(D14-E14)*0.25</f>
        <v>0</v>
      </c>
      <c r="G14" s="69"/>
      <c r="H14" s="70" t="n">
        <f aca="false">(D14-E14)-F14</f>
        <v>0</v>
      </c>
    </row>
    <row r="15" customFormat="false" ht="29.85" hidden="false" customHeight="false" outlineLevel="0" collapsed="false">
      <c r="A15" s="64" t="s">
        <v>36</v>
      </c>
      <c r="B15" s="65" t="n">
        <v>46071</v>
      </c>
      <c r="C15" s="66" t="s">
        <v>44</v>
      </c>
      <c r="D15" s="67" t="n">
        <v>3200</v>
      </c>
      <c r="E15" s="67" t="n">
        <v>1259.71</v>
      </c>
      <c r="F15" s="68" t="n">
        <f aca="false">(D15-E15)*0.25</f>
        <v>485.0725</v>
      </c>
      <c r="G15" s="69"/>
      <c r="H15" s="70" t="n">
        <f aca="false">(D15-E15)-F15</f>
        <v>1455.2175</v>
      </c>
    </row>
    <row r="16" customFormat="false" ht="19.35" hidden="false" customHeight="false" outlineLevel="0" collapsed="false">
      <c r="A16" s="64" t="s">
        <v>38</v>
      </c>
      <c r="B16" s="65" t="n">
        <v>46072</v>
      </c>
      <c r="C16" s="66" t="s">
        <v>45</v>
      </c>
      <c r="D16" s="67" t="n">
        <v>2000</v>
      </c>
      <c r="E16" s="67" t="n">
        <v>651.32</v>
      </c>
      <c r="F16" s="68" t="n">
        <f aca="false">(D16-E16)*0.25</f>
        <v>337.17</v>
      </c>
      <c r="G16" s="69"/>
      <c r="H16" s="70" t="n">
        <f aca="false">(D16-E16)-F16</f>
        <v>1011.51</v>
      </c>
    </row>
    <row r="17" customFormat="false" ht="29.85" hidden="false" customHeight="false" outlineLevel="0" collapsed="false">
      <c r="A17" s="64" t="s">
        <v>39</v>
      </c>
      <c r="B17" s="65" t="n">
        <v>46073</v>
      </c>
      <c r="C17" s="66" t="s">
        <v>46</v>
      </c>
      <c r="D17" s="67" t="n">
        <v>3500</v>
      </c>
      <c r="E17" s="67" t="n">
        <v>1290.11</v>
      </c>
      <c r="F17" s="68" t="n">
        <f aca="false">(D17-E17)*0.25</f>
        <v>552.4725</v>
      </c>
      <c r="G17" s="69"/>
      <c r="H17" s="70" t="n">
        <f aca="false">(D17-E17)-F17</f>
        <v>1657.4175</v>
      </c>
    </row>
    <row r="18" customFormat="false" ht="45.6" hidden="false" customHeight="true" outlineLevel="0" collapsed="false">
      <c r="A18" s="64" t="s">
        <v>30</v>
      </c>
      <c r="B18" s="65" t="n">
        <v>46074</v>
      </c>
      <c r="C18" s="66" t="s">
        <v>47</v>
      </c>
      <c r="D18" s="67" t="n">
        <v>3300</v>
      </c>
      <c r="E18" s="67" t="n">
        <v>1212.78</v>
      </c>
      <c r="F18" s="68" t="n">
        <f aca="false">(D18-E18)*0.25</f>
        <v>521.805</v>
      </c>
      <c r="G18" s="69"/>
      <c r="H18" s="70" t="n">
        <f aca="false">(D18-E18)-F18</f>
        <v>1565.415</v>
      </c>
    </row>
    <row r="19" customFormat="false" ht="29.85" hidden="false" customHeight="false" outlineLevel="0" collapsed="false">
      <c r="A19" s="64" t="s">
        <v>31</v>
      </c>
      <c r="B19" s="65" t="n">
        <v>46075</v>
      </c>
      <c r="C19" s="66" t="s">
        <v>48</v>
      </c>
      <c r="D19" s="67" t="n">
        <v>3600</v>
      </c>
      <c r="E19" s="67" t="n">
        <v>1258.61</v>
      </c>
      <c r="F19" s="68" t="n">
        <f aca="false">(D19-E19)*0.25</f>
        <v>585.3475</v>
      </c>
      <c r="G19" s="69"/>
      <c r="H19" s="70" t="n">
        <f aca="false">(D19-E19)-F19</f>
        <v>1756.0425</v>
      </c>
    </row>
    <row r="20" customFormat="false" ht="19.35" hidden="false" customHeight="false" outlineLevel="0" collapsed="false">
      <c r="A20" s="64" t="s">
        <v>32</v>
      </c>
      <c r="B20" s="65" t="n">
        <v>46076</v>
      </c>
      <c r="C20" s="66" t="s">
        <v>49</v>
      </c>
      <c r="D20" s="67" t="n">
        <v>3300</v>
      </c>
      <c r="E20" s="67" t="n">
        <v>1359.26</v>
      </c>
      <c r="F20" s="68" t="n">
        <f aca="false">(D20-E20)*0.25</f>
        <v>485.185</v>
      </c>
      <c r="G20" s="69"/>
      <c r="H20" s="70" t="n">
        <f aca="false">(D20-E20)-F20</f>
        <v>1455.555</v>
      </c>
    </row>
    <row r="21" customFormat="false" ht="28.15" hidden="false" customHeight="true" outlineLevel="0" collapsed="false">
      <c r="A21" s="62"/>
      <c r="B21" s="62"/>
      <c r="C21" s="62"/>
      <c r="D21" s="62"/>
      <c r="E21" s="62"/>
      <c r="F21" s="71" t="n">
        <f aca="false">SUM(F2:F20)</f>
        <v>6266.8525</v>
      </c>
      <c r="G21" s="72"/>
      <c r="H21" s="72" t="n">
        <f aca="false">SUM(H2:H20)</f>
        <v>18800.5575</v>
      </c>
    </row>
    <row r="22" customFormat="false" ht="21.7" hidden="false" customHeight="false" outlineLevel="0" collapsed="false">
      <c r="A22" s="62"/>
      <c r="B22" s="73" t="n">
        <v>46077</v>
      </c>
      <c r="C22" s="74" t="s">
        <v>152</v>
      </c>
      <c r="D22" s="62"/>
      <c r="E22" s="62"/>
      <c r="F22" s="62"/>
      <c r="H22" s="75" t="n">
        <v>15528</v>
      </c>
    </row>
    <row r="23" customFormat="false" ht="20.7" hidden="false" customHeight="true" outlineLevel="0" collapsed="false">
      <c r="A23" s="62"/>
      <c r="B23" s="76"/>
      <c r="C23" s="74" t="s">
        <v>153</v>
      </c>
      <c r="D23" s="62"/>
      <c r="E23" s="62"/>
      <c r="F23" s="62"/>
      <c r="H23" s="72" t="n">
        <f aca="false">SUM(H21-H22)</f>
        <v>3272.5575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Roman,Normal"&amp;12ffffff&amp;A</oddHeader>
    <oddFooter>&amp;C&amp;"Times New Roman,Normal"&amp;12ffffffSida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2019-04-28T16:37:56Z</dcterms:created>
  <dc:creator>Leif</dc:creator>
  <dc:description/>
  <dc:language>sv-SE</dc:language>
  <cp:lastModifiedBy/>
  <cp:lastPrinted>2026-02-24T20:15:10Z</cp:lastPrinted>
  <dcterms:modified xsi:type="dcterms:W3CDTF">2026-03-22T11:39:41Z</dcterms:modified>
  <cp:revision>30</cp:revision>
  <dc:subject/>
  <dc:title/>
</cp:coreProperties>
</file>